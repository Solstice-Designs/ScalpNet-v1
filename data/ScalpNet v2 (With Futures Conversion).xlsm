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aden\Desktop\ScalpNetPrototype\data\"/>
    </mc:Choice>
  </mc:AlternateContent>
  <xr:revisionPtr revIDLastSave="0" documentId="13_ncr:1_{5F98999E-5411-4E7B-83B5-D2015009862E}" xr6:coauthVersionLast="47" xr6:coauthVersionMax="47" xr10:uidLastSave="{00000000-0000-0000-0000-000000000000}"/>
  <bookViews>
    <workbookView xWindow="945" yWindow="0" windowWidth="27855" windowHeight="16200" xr2:uid="{00000000-000D-0000-FFFF-FFFF00000000}"/>
  </bookViews>
  <sheets>
    <sheet name="Sheet1" sheetId="4" r:id="rId1"/>
    <sheet name="Sheet3" sheetId="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4" l="1"/>
  <c r="T1" i="4"/>
  <c r="C2" i="4"/>
  <c r="J2" i="4" s="1"/>
  <c r="Q2" i="4" s="1"/>
  <c r="Q133" i="7"/>
  <c r="A4" i="7"/>
  <c r="B4" i="7"/>
  <c r="C4" i="7"/>
  <c r="D4" i="7"/>
  <c r="E4" i="7"/>
  <c r="F4" i="7"/>
  <c r="G4" i="7"/>
  <c r="H4" i="7"/>
  <c r="I4" i="7"/>
  <c r="J4" i="7"/>
  <c r="K4" i="7"/>
  <c r="L4" i="7"/>
  <c r="A7" i="7"/>
  <c r="B7" i="7"/>
  <c r="C7" i="7"/>
  <c r="D7" i="7"/>
  <c r="F7" i="7"/>
  <c r="G7" i="7"/>
  <c r="H7" i="7"/>
  <c r="I7" i="7"/>
  <c r="J7" i="7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T10" i="7"/>
  <c r="C11" i="7"/>
  <c r="D11" i="7"/>
  <c r="E11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T11" i="7"/>
  <c r="C12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C13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C14" i="7"/>
  <c r="D14" i="7"/>
  <c r="E14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T14" i="7"/>
  <c r="C15" i="7"/>
  <c r="D15" i="7"/>
  <c r="E15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T15" i="7"/>
  <c r="C16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C17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C19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C20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C21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T21" i="7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C24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T24" i="7"/>
  <c r="C25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C26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C27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C28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C29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T30" i="7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T31" i="7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C33" i="7"/>
  <c r="D33" i="7"/>
  <c r="E33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C34" i="7"/>
  <c r="D34" i="7"/>
  <c r="E34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T34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C36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C37" i="7"/>
  <c r="D37" i="7"/>
  <c r="E37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T37" i="7"/>
  <c r="C38" i="7"/>
  <c r="D38" i="7"/>
  <c r="E38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T38" i="7"/>
  <c r="C39" i="7"/>
  <c r="D39" i="7"/>
  <c r="E39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C40" i="7"/>
  <c r="D40" i="7"/>
  <c r="E40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C41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C42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C43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C44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C45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C46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C47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C48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C49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C50" i="7"/>
  <c r="D50" i="7"/>
  <c r="E50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T50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T51" i="7"/>
  <c r="C52" i="7"/>
  <c r="D52" i="7"/>
  <c r="E52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T52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T53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T54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T56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T57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T58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T59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T60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T61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T62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T63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T65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T66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T69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T70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T71" i="7"/>
  <c r="C72" i="7"/>
  <c r="D72" i="7"/>
  <c r="E72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T72" i="7"/>
  <c r="C73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T73" i="7"/>
  <c r="C74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T74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T75" i="7"/>
  <c r="C76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T76" i="7"/>
  <c r="C77" i="7"/>
  <c r="D77" i="7"/>
  <c r="E77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T77" i="7"/>
  <c r="C78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T78" i="7"/>
  <c r="C79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T79" i="7"/>
  <c r="C80" i="7"/>
  <c r="D80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T80" i="7"/>
  <c r="C81" i="7"/>
  <c r="D81" i="7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C82" i="7"/>
  <c r="D82" i="7"/>
  <c r="E82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T82" i="7"/>
  <c r="C83" i="7"/>
  <c r="D83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C84" i="7"/>
  <c r="D84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C85" i="7"/>
  <c r="D85" i="7"/>
  <c r="E85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T85" i="7"/>
  <c r="C86" i="7"/>
  <c r="D86" i="7"/>
  <c r="E86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T86" i="7"/>
  <c r="C87" i="7"/>
  <c r="D87" i="7"/>
  <c r="E87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T87" i="7"/>
  <c r="C88" i="7"/>
  <c r="D88" i="7"/>
  <c r="E88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T88" i="7"/>
  <c r="C89" i="7"/>
  <c r="D89" i="7"/>
  <c r="E89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T89" i="7"/>
  <c r="C90" i="7"/>
  <c r="D90" i="7"/>
  <c r="E90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T90" i="7"/>
  <c r="C91" i="7"/>
  <c r="D91" i="7"/>
  <c r="E91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T91" i="7"/>
  <c r="C92" i="7"/>
  <c r="D92" i="7"/>
  <c r="E92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T92" i="7"/>
  <c r="C93" i="7"/>
  <c r="D93" i="7"/>
  <c r="E93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T93" i="7"/>
  <c r="C94" i="7"/>
  <c r="D94" i="7"/>
  <c r="E94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T94" i="7"/>
  <c r="C95" i="7"/>
  <c r="D95" i="7"/>
  <c r="E95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T95" i="7"/>
  <c r="C96" i="7"/>
  <c r="D96" i="7"/>
  <c r="E96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T96" i="7"/>
  <c r="C97" i="7"/>
  <c r="D97" i="7"/>
  <c r="E97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T97" i="7"/>
  <c r="C98" i="7"/>
  <c r="D98" i="7"/>
  <c r="E98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T98" i="7"/>
  <c r="C99" i="7"/>
  <c r="D99" i="7"/>
  <c r="E99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T99" i="7"/>
  <c r="C100" i="7"/>
  <c r="D100" i="7"/>
  <c r="E100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T100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T101" i="7"/>
  <c r="C102" i="7"/>
  <c r="D102" i="7"/>
  <c r="E102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T102" i="7"/>
  <c r="C103" i="7"/>
  <c r="D103" i="7"/>
  <c r="E103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T103" i="7"/>
  <c r="C104" i="7"/>
  <c r="D104" i="7"/>
  <c r="E104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T104" i="7"/>
  <c r="C105" i="7"/>
  <c r="D105" i="7"/>
  <c r="E105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T105" i="7"/>
  <c r="C106" i="7"/>
  <c r="D106" i="7"/>
  <c r="E106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T106" i="7"/>
  <c r="C107" i="7"/>
  <c r="D107" i="7"/>
  <c r="E107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T107" i="7"/>
  <c r="C108" i="7"/>
  <c r="D108" i="7"/>
  <c r="E108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T108" i="7"/>
  <c r="C109" i="7"/>
  <c r="D109" i="7"/>
  <c r="E109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T109" i="7"/>
  <c r="C110" i="7"/>
  <c r="D110" i="7"/>
  <c r="E110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T110" i="7"/>
  <c r="C111" i="7"/>
  <c r="D111" i="7"/>
  <c r="E111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T111" i="7"/>
  <c r="C112" i="7"/>
  <c r="D112" i="7"/>
  <c r="E112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T112" i="7"/>
  <c r="C113" i="7"/>
  <c r="D113" i="7"/>
  <c r="E113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T113" i="7"/>
  <c r="C114" i="7"/>
  <c r="D114" i="7"/>
  <c r="E114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T114" i="7"/>
  <c r="C115" i="7"/>
  <c r="D115" i="7"/>
  <c r="E115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T115" i="7"/>
  <c r="C116" i="7"/>
  <c r="D116" i="7"/>
  <c r="E116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T116" i="7"/>
  <c r="C117" i="7"/>
  <c r="D117" i="7"/>
  <c r="E117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T117" i="7"/>
  <c r="C118" i="7"/>
  <c r="D118" i="7"/>
  <c r="E118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T118" i="7"/>
  <c r="C119" i="7"/>
  <c r="D119" i="7"/>
  <c r="E119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T119" i="7"/>
  <c r="C120" i="7"/>
  <c r="D120" i="7"/>
  <c r="E120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T120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T121" i="7"/>
  <c r="C122" i="7"/>
  <c r="D122" i="7"/>
  <c r="E122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T122" i="7"/>
  <c r="C123" i="7"/>
  <c r="D123" i="7"/>
  <c r="E123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T123" i="7"/>
  <c r="C124" i="7"/>
  <c r="D124" i="7"/>
  <c r="E124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T124" i="7"/>
  <c r="C125" i="7"/>
  <c r="D125" i="7"/>
  <c r="E125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T125" i="7"/>
  <c r="C126" i="7"/>
  <c r="D126" i="7"/>
  <c r="E126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T126" i="7"/>
  <c r="C127" i="7"/>
  <c r="D127" i="7"/>
  <c r="E127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T127" i="7"/>
  <c r="C128" i="7"/>
  <c r="D128" i="7"/>
  <c r="E128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T128" i="7"/>
  <c r="C129" i="7"/>
  <c r="D129" i="7"/>
  <c r="E129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T129" i="7"/>
  <c r="C130" i="7"/>
  <c r="D130" i="7"/>
  <c r="E130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T130" i="7"/>
  <c r="C131" i="7"/>
  <c r="D131" i="7"/>
  <c r="E131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T131" i="7"/>
  <c r="C132" i="7"/>
  <c r="D132" i="7"/>
  <c r="E132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T132" i="7"/>
  <c r="C133" i="7"/>
  <c r="D133" i="7"/>
  <c r="E133" i="7"/>
  <c r="F133" i="7"/>
  <c r="G133" i="7"/>
  <c r="H133" i="7"/>
  <c r="I133" i="7"/>
  <c r="J133" i="7"/>
  <c r="K133" i="7"/>
  <c r="L133" i="7"/>
  <c r="M133" i="7"/>
  <c r="N133" i="7"/>
  <c r="O133" i="7"/>
  <c r="P133" i="7"/>
  <c r="R133" i="7"/>
  <c r="S133" i="7"/>
  <c r="T133" i="7"/>
  <c r="C134" i="7"/>
  <c r="D134" i="7"/>
  <c r="E134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T134" i="7"/>
  <c r="C135" i="7"/>
  <c r="D135" i="7"/>
  <c r="E135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T135" i="7"/>
  <c r="C136" i="7"/>
  <c r="D136" i="7"/>
  <c r="E136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T136" i="7"/>
  <c r="C137" i="7"/>
  <c r="D137" i="7"/>
  <c r="E137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T137" i="7"/>
  <c r="C138" i="7"/>
  <c r="D138" i="7"/>
  <c r="E138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T138" i="7"/>
  <c r="C139" i="7"/>
  <c r="D139" i="7"/>
  <c r="E139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T139" i="7"/>
  <c r="C140" i="7"/>
  <c r="D140" i="7"/>
  <c r="E140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T140" i="7"/>
  <c r="C141" i="7"/>
  <c r="D141" i="7"/>
  <c r="E141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T141" i="7"/>
  <c r="C142" i="7"/>
  <c r="D142" i="7"/>
  <c r="E142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T142" i="7"/>
  <c r="C143" i="7"/>
  <c r="D143" i="7"/>
  <c r="E143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T143" i="7"/>
  <c r="C144" i="7"/>
  <c r="D144" i="7"/>
  <c r="E144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T144" i="7"/>
  <c r="C145" i="7"/>
  <c r="D145" i="7"/>
  <c r="E145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T145" i="7"/>
  <c r="C146" i="7"/>
  <c r="D146" i="7"/>
  <c r="E146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T146" i="7"/>
  <c r="C147" i="7"/>
  <c r="D147" i="7"/>
  <c r="E147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T147" i="7"/>
  <c r="C148" i="7"/>
  <c r="D148" i="7"/>
  <c r="E148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T148" i="7"/>
  <c r="C149" i="7"/>
  <c r="D149" i="7"/>
  <c r="E149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T149" i="7"/>
  <c r="C150" i="7"/>
  <c r="D150" i="7"/>
  <c r="E150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T150" i="7"/>
  <c r="C151" i="7"/>
  <c r="D151" i="7"/>
  <c r="E151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T151" i="7"/>
  <c r="C152" i="7"/>
  <c r="D152" i="7"/>
  <c r="E152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T152" i="7"/>
  <c r="C153" i="7"/>
  <c r="D153" i="7"/>
  <c r="E153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T153" i="7"/>
  <c r="C154" i="7"/>
  <c r="D154" i="7"/>
  <c r="E154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T154" i="7"/>
  <c r="C155" i="7"/>
  <c r="D155" i="7"/>
  <c r="E155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T155" i="7"/>
  <c r="C156" i="7"/>
  <c r="D156" i="7"/>
  <c r="E156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T156" i="7"/>
  <c r="C157" i="7"/>
  <c r="D157" i="7"/>
  <c r="E157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T157" i="7"/>
  <c r="C158" i="7"/>
  <c r="D158" i="7"/>
  <c r="E158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T158" i="7"/>
  <c r="C159" i="7"/>
  <c r="D159" i="7"/>
  <c r="E159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T159" i="7"/>
  <c r="C160" i="7"/>
  <c r="D160" i="7"/>
  <c r="E160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T160" i="7"/>
  <c r="C161" i="7"/>
  <c r="D161" i="7"/>
  <c r="E161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T161" i="7"/>
  <c r="C162" i="7"/>
  <c r="D162" i="7"/>
  <c r="E162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T162" i="7"/>
  <c r="C163" i="7"/>
  <c r="D163" i="7"/>
  <c r="E163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T163" i="7"/>
  <c r="C164" i="7"/>
  <c r="D164" i="7"/>
  <c r="E164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T164" i="7"/>
  <c r="C165" i="7"/>
  <c r="D165" i="7"/>
  <c r="E165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T165" i="7"/>
  <c r="C166" i="7"/>
  <c r="D166" i="7"/>
  <c r="E166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T166" i="7"/>
  <c r="C167" i="7"/>
  <c r="D167" i="7"/>
  <c r="E167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T167" i="7"/>
  <c r="C168" i="7"/>
  <c r="D168" i="7"/>
  <c r="E168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T168" i="7"/>
  <c r="C169" i="7"/>
  <c r="D169" i="7"/>
  <c r="E169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T169" i="7"/>
  <c r="C170" i="7"/>
  <c r="D170" i="7"/>
  <c r="E170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T170" i="7"/>
  <c r="C171" i="7"/>
  <c r="D171" i="7"/>
  <c r="E171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T171" i="7"/>
  <c r="C172" i="7"/>
  <c r="D172" i="7"/>
  <c r="E172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T172" i="7"/>
  <c r="C173" i="7"/>
  <c r="D173" i="7"/>
  <c r="E173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T173" i="7"/>
  <c r="C174" i="7"/>
  <c r="D174" i="7"/>
  <c r="E174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T174" i="7"/>
  <c r="C175" i="7"/>
  <c r="D175" i="7"/>
  <c r="E175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T175" i="7"/>
  <c r="C176" i="7"/>
  <c r="D176" i="7"/>
  <c r="E176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T176" i="7"/>
  <c r="C177" i="7"/>
  <c r="D177" i="7"/>
  <c r="E177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T177" i="7"/>
  <c r="C178" i="7"/>
  <c r="D178" i="7"/>
  <c r="E178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T178" i="7"/>
  <c r="C179" i="7"/>
  <c r="D179" i="7"/>
  <c r="E179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T179" i="7"/>
  <c r="C180" i="7"/>
  <c r="D180" i="7"/>
  <c r="E180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T180" i="7"/>
  <c r="C181" i="7"/>
  <c r="D181" i="7"/>
  <c r="E181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T181" i="7"/>
  <c r="C182" i="7"/>
  <c r="D182" i="7"/>
  <c r="E182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T182" i="7"/>
  <c r="C183" i="7"/>
  <c r="D183" i="7"/>
  <c r="E183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T183" i="7"/>
  <c r="C184" i="7"/>
  <c r="D184" i="7"/>
  <c r="E184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T184" i="7"/>
  <c r="C185" i="7"/>
  <c r="D185" i="7"/>
  <c r="E185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T185" i="7"/>
  <c r="C186" i="7"/>
  <c r="D186" i="7"/>
  <c r="E186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T186" i="7"/>
  <c r="C187" i="7"/>
  <c r="D187" i="7"/>
  <c r="E187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T187" i="7"/>
  <c r="S5" i="4" l="1"/>
  <c r="T3" i="4"/>
  <c r="D2" i="4"/>
  <c r="P2" i="4"/>
  <c r="O2" i="4"/>
  <c r="N2" i="4"/>
  <c r="M2" i="4"/>
  <c r="L2" i="4"/>
  <c r="K2" i="4"/>
  <c r="I2" i="4"/>
  <c r="H2" i="4"/>
  <c r="G2" i="4"/>
  <c r="F2" i="4"/>
  <c r="J3" i="4"/>
  <c r="T5" i="4" l="1"/>
  <c r="U5" i="4" s="1"/>
  <c r="Q3" i="4"/>
  <c r="E2" i="4"/>
  <c r="P3" i="4"/>
  <c r="D3" i="4"/>
  <c r="N3" i="4"/>
  <c r="O3" i="4"/>
  <c r="L3" i="4"/>
  <c r="M3" i="4"/>
  <c r="I3" i="4"/>
  <c r="K3" i="4"/>
  <c r="G3" i="4"/>
  <c r="H3" i="4"/>
  <c r="E3" i="4"/>
  <c r="F3" i="4"/>
  <c r="J4" i="4"/>
  <c r="Q4" i="4" s="1"/>
  <c r="P4" i="4" l="1"/>
  <c r="D4" i="4"/>
  <c r="N4" i="4"/>
  <c r="O4" i="4"/>
  <c r="L4" i="4"/>
  <c r="M4" i="4"/>
  <c r="I4" i="4"/>
  <c r="K4" i="4"/>
  <c r="G4" i="4"/>
  <c r="H4" i="4"/>
  <c r="E4" i="4"/>
  <c r="F4" i="4"/>
  <c r="J5" i="4"/>
  <c r="Q5" i="4" l="1"/>
  <c r="P5" i="4"/>
  <c r="D5" i="4"/>
  <c r="N5" i="4"/>
  <c r="O5" i="4"/>
  <c r="L5" i="4"/>
  <c r="S6" i="4" s="1"/>
  <c r="M5" i="4"/>
  <c r="I5" i="4"/>
  <c r="K5" i="4"/>
  <c r="G5" i="4"/>
  <c r="H5" i="4"/>
  <c r="E5" i="4"/>
  <c r="F5" i="4"/>
  <c r="J6" i="4"/>
  <c r="Q6" i="4" s="1"/>
  <c r="S7" i="4" l="1"/>
  <c r="T6" i="4"/>
  <c r="U6" i="4" s="1"/>
  <c r="P6" i="4"/>
  <c r="D6" i="4"/>
  <c r="N6" i="4"/>
  <c r="O6" i="4"/>
  <c r="L6" i="4"/>
  <c r="M6" i="4"/>
  <c r="I6" i="4"/>
  <c r="K6" i="4"/>
  <c r="G6" i="4"/>
  <c r="H6" i="4"/>
  <c r="E6" i="4"/>
  <c r="F6" i="4"/>
  <c r="J7" i="4"/>
  <c r="S8" i="4" l="1"/>
  <c r="T7" i="4"/>
  <c r="U7" i="4" s="1"/>
  <c r="Q7" i="4"/>
  <c r="P7" i="4"/>
  <c r="D7" i="4"/>
  <c r="N7" i="4"/>
  <c r="O7" i="4"/>
  <c r="L7" i="4"/>
  <c r="M7" i="4"/>
  <c r="I7" i="4"/>
  <c r="K7" i="4"/>
  <c r="G7" i="4"/>
  <c r="H7" i="4"/>
  <c r="E7" i="4"/>
  <c r="F7" i="4"/>
  <c r="J8" i="4"/>
  <c r="Q8" i="4" s="1"/>
  <c r="S9" i="4" l="1"/>
  <c r="T8" i="4"/>
  <c r="U8" i="4" s="1"/>
  <c r="P8" i="4"/>
  <c r="D8" i="4"/>
  <c r="N8" i="4"/>
  <c r="O8" i="4"/>
  <c r="L8" i="4"/>
  <c r="M8" i="4"/>
  <c r="I8" i="4"/>
  <c r="K8" i="4"/>
  <c r="G8" i="4"/>
  <c r="H8" i="4"/>
  <c r="E8" i="4"/>
  <c r="F8" i="4"/>
  <c r="J9" i="4"/>
  <c r="S10" i="4" l="1"/>
  <c r="T9" i="4"/>
  <c r="U9" i="4" s="1"/>
  <c r="L9" i="4"/>
  <c r="D9" i="4"/>
  <c r="Q9" i="4"/>
  <c r="E9" i="4"/>
  <c r="F9" i="4"/>
  <c r="P9" i="4"/>
  <c r="H9" i="4"/>
  <c r="N9" i="4"/>
  <c r="O9" i="4"/>
  <c r="M9" i="4"/>
  <c r="I9" i="4"/>
  <c r="K9" i="4"/>
  <c r="G9" i="4"/>
  <c r="J10" i="4"/>
  <c r="F10" i="4" s="1"/>
  <c r="S11" i="4" l="1"/>
  <c r="T10" i="4"/>
  <c r="U10" i="4" s="1"/>
  <c r="D10" i="4"/>
  <c r="Q10" i="4"/>
  <c r="E10" i="4"/>
  <c r="P10" i="4"/>
  <c r="N10" i="4"/>
  <c r="O10" i="4"/>
  <c r="L10" i="4"/>
  <c r="M10" i="4"/>
  <c r="I10" i="4"/>
  <c r="K10" i="4"/>
  <c r="G10" i="4"/>
  <c r="H10" i="4"/>
  <c r="J11" i="4"/>
  <c r="F11" i="4" s="1"/>
  <c r="S12" i="4" l="1"/>
  <c r="T11" i="4"/>
  <c r="U11" i="4" s="1"/>
  <c r="Q11" i="4"/>
  <c r="P11" i="4"/>
  <c r="D11" i="4"/>
  <c r="N11" i="4"/>
  <c r="O11" i="4"/>
  <c r="L11" i="4"/>
  <c r="M11" i="4"/>
  <c r="I11" i="4"/>
  <c r="K11" i="4"/>
  <c r="G11" i="4"/>
  <c r="H11" i="4"/>
  <c r="E11" i="4"/>
  <c r="J12" i="4"/>
  <c r="Q12" i="4" s="1"/>
  <c r="S13" i="4" l="1"/>
  <c r="T12" i="4"/>
  <c r="U12" i="4" s="1"/>
  <c r="P12" i="4"/>
  <c r="D12" i="4"/>
  <c r="N12" i="4"/>
  <c r="O12" i="4"/>
  <c r="L12" i="4"/>
  <c r="M12" i="4"/>
  <c r="I12" i="4"/>
  <c r="K12" i="4"/>
  <c r="G12" i="4"/>
  <c r="H12" i="4"/>
  <c r="E12" i="4"/>
  <c r="F12" i="4"/>
  <c r="J13" i="4"/>
  <c r="I13" i="4" s="1"/>
  <c r="S14" i="4" l="1"/>
  <c r="T13" i="4"/>
  <c r="U13" i="4" s="1"/>
  <c r="D13" i="4"/>
  <c r="Q13" i="4"/>
  <c r="P13" i="4"/>
  <c r="G13" i="4"/>
  <c r="N13" i="4"/>
  <c r="O13" i="4"/>
  <c r="L13" i="4"/>
  <c r="M13" i="4"/>
  <c r="K13" i="4"/>
  <c r="H13" i="4"/>
  <c r="E13" i="4"/>
  <c r="F13" i="4"/>
  <c r="J14" i="4"/>
  <c r="Q14" i="4" s="1"/>
  <c r="S15" i="4" l="1"/>
  <c r="T14" i="4"/>
  <c r="U14" i="4" s="1"/>
  <c r="P14" i="4"/>
  <c r="D14" i="4"/>
  <c r="N14" i="4"/>
  <c r="O14" i="4"/>
  <c r="L14" i="4"/>
  <c r="M14" i="4"/>
  <c r="I14" i="4"/>
  <c r="K14" i="4"/>
  <c r="G14" i="4"/>
  <c r="H14" i="4"/>
  <c r="E14" i="4"/>
  <c r="F14" i="4"/>
  <c r="J15" i="4"/>
  <c r="Q15" i="4" s="1"/>
  <c r="S16" i="4" l="1"/>
  <c r="T15" i="4"/>
  <c r="U15" i="4" s="1"/>
  <c r="P15" i="4"/>
  <c r="D15" i="4"/>
  <c r="N15" i="4"/>
  <c r="O15" i="4"/>
  <c r="L15" i="4"/>
  <c r="M15" i="4"/>
  <c r="I15" i="4"/>
  <c r="K15" i="4"/>
  <c r="G15" i="4"/>
  <c r="H15" i="4"/>
  <c r="E15" i="4"/>
  <c r="F15" i="4"/>
  <c r="J16" i="4"/>
  <c r="Q16" i="4" s="1"/>
  <c r="S17" i="4" l="1"/>
  <c r="T16" i="4"/>
  <c r="U16" i="4" s="1"/>
  <c r="P16" i="4"/>
  <c r="D16" i="4"/>
  <c r="N16" i="4"/>
  <c r="O16" i="4"/>
  <c r="L16" i="4"/>
  <c r="M16" i="4"/>
  <c r="I16" i="4"/>
  <c r="K16" i="4"/>
  <c r="G16" i="4"/>
  <c r="H16" i="4"/>
  <c r="E16" i="4"/>
  <c r="F16" i="4"/>
  <c r="J17" i="4"/>
  <c r="Q17" i="4" s="1"/>
  <c r="S18" i="4" l="1"/>
  <c r="T17" i="4"/>
  <c r="U17" i="4" s="1"/>
  <c r="P17" i="4"/>
  <c r="D17" i="4"/>
  <c r="N17" i="4"/>
  <c r="O17" i="4"/>
  <c r="L17" i="4"/>
  <c r="M17" i="4"/>
  <c r="I17" i="4"/>
  <c r="K17" i="4"/>
  <c r="G17" i="4"/>
  <c r="H17" i="4"/>
  <c r="E17" i="4"/>
  <c r="F17" i="4"/>
  <c r="J18" i="4"/>
  <c r="Q18" i="4" s="1"/>
  <c r="S19" i="4" l="1"/>
  <c r="T18" i="4"/>
  <c r="U18" i="4" s="1"/>
  <c r="P18" i="4"/>
  <c r="D18" i="4"/>
  <c r="N18" i="4"/>
  <c r="O18" i="4"/>
  <c r="L18" i="4"/>
  <c r="M18" i="4"/>
  <c r="I18" i="4"/>
  <c r="K18" i="4"/>
  <c r="G18" i="4"/>
  <c r="H18" i="4"/>
  <c r="E18" i="4"/>
  <c r="F18" i="4"/>
  <c r="S20" i="4" l="1"/>
  <c r="T19" i="4"/>
  <c r="U19" i="4" s="1"/>
  <c r="S21" i="4" l="1"/>
  <c r="T21" i="4" s="1"/>
  <c r="U21" i="4" s="1"/>
  <c r="T20" i="4"/>
  <c r="U20" i="4" s="1"/>
</calcChain>
</file>

<file path=xl/sharedStrings.xml><?xml version="1.0" encoding="utf-8"?>
<sst xmlns="http://schemas.openxmlformats.org/spreadsheetml/2006/main" count="125" uniqueCount="109">
  <si>
    <t>Strike</t>
  </si>
  <si>
    <t>Price</t>
  </si>
  <si>
    <t>Call Vol</t>
  </si>
  <si>
    <t>Call Delta</t>
  </si>
  <si>
    <t>Ticker</t>
  </si>
  <si>
    <t>Call OI</t>
  </si>
  <si>
    <t>Call Gamma</t>
  </si>
  <si>
    <t>Call Theta</t>
  </si>
  <si>
    <t>Put Vol</t>
  </si>
  <si>
    <t>Expiry</t>
  </si>
  <si>
    <t>Put Delta</t>
  </si>
  <si>
    <t>Put OI</t>
  </si>
  <si>
    <t>Put Gamma</t>
  </si>
  <si>
    <t>Put Theta</t>
  </si>
  <si>
    <t>Exp</t>
  </si>
  <si>
    <t>Call Ask</t>
  </si>
  <si>
    <t>Put Ask</t>
  </si>
  <si>
    <t>UNDERLYING</t>
  </si>
  <si>
    <t>LAST</t>
  </si>
  <si>
    <t>LX</t>
  </si>
  <si>
    <t>Net Chng</t>
  </si>
  <si>
    <t>BID</t>
  </si>
  <si>
    <t>BX</t>
  </si>
  <si>
    <t>ASK</t>
  </si>
  <si>
    <t>AX</t>
  </si>
  <si>
    <t>Size</t>
  </si>
  <si>
    <t>Volume</t>
  </si>
  <si>
    <t>Open</t>
  </si>
  <si>
    <t>High</t>
  </si>
  <si>
    <t>Low</t>
  </si>
  <si>
    <t>UNDERLYING EXTRA INFO</t>
  </si>
  <si>
    <t>Last Size</t>
  </si>
  <si>
    <t>Yield</t>
  </si>
  <si>
    <t>PE</t>
  </si>
  <si>
    <t>Div</t>
  </si>
  <si>
    <t>Div.Freq</t>
  </si>
  <si>
    <t>Ex Div.Date</t>
  </si>
  <si>
    <t>52High</t>
  </si>
  <si>
    <t>52Low</t>
  </si>
  <si>
    <t>Shares</t>
  </si>
  <si>
    <t>Beta</t>
  </si>
  <si>
    <t>--</t>
  </si>
  <si>
    <t>29 JAN 24  (0)  100 (Weeklys)</t>
  </si>
  <si>
    <t>Open.Int</t>
  </si>
  <si>
    <t>Delta</t>
  </si>
  <si>
    <t>Gamma</t>
  </si>
  <si>
    <t>30 JAN 24  (1)  100 (Weeklys)</t>
  </si>
  <si>
    <t>31 JAN 24  (2)  100 (Weeklys)</t>
  </si>
  <si>
    <t>1 FEB 24  (3)  100 (Weeklys)</t>
  </si>
  <si>
    <t>2 FEB 24  (4)  100 (Weeklys)</t>
  </si>
  <si>
    <t>5 FEB 24  (7)  100 (Weeklys)</t>
  </si>
  <si>
    <t>6 FEB 24  (8)  100 (Weeklys)</t>
  </si>
  <si>
    <t>7 FEB 24  (9)  100 (Weeklys)</t>
  </si>
  <si>
    <t>8 FEB 24  (10)  100 (Weeklys)</t>
  </si>
  <si>
    <t>9 FEB 24  (11)  100 (Weeklys)</t>
  </si>
  <si>
    <t>12 FEB 24  (14)  100 (Weeklys)</t>
  </si>
  <si>
    <t>13 FEB 24  (15)  100 (Weeklys)</t>
  </si>
  <si>
    <t>14 FEB 24  (16)  100 (Weeklys)</t>
  </si>
  <si>
    <t>15 FEB 24  (17)  100 (Weeklys)</t>
  </si>
  <si>
    <t>16 FEB 24  (17)  100</t>
  </si>
  <si>
    <t>16 FEB 24  (18)  100 (Weeklys)</t>
  </si>
  <si>
    <t>20 FEB 24  (22)  100 (Weeklys)</t>
  </si>
  <si>
    <t>21 FEB 24  (23)  100 (Weeklys)</t>
  </si>
  <si>
    <t>22 FEB 24  (24)  100 (Weeklys)</t>
  </si>
  <si>
    <t>23 FEB 24  (25)  100 (Weeklys)</t>
  </si>
  <si>
    <t>26 FEB 24  (28)  100 (Weeklys)</t>
  </si>
  <si>
    <t>27 FEB 24  (29)  100 (Weeklys)</t>
  </si>
  <si>
    <t>28 FEB 24  (30)  100 (Weeklys)</t>
  </si>
  <si>
    <t>29 FEB 24  (31)  100 (Weeklys)</t>
  </si>
  <si>
    <t>1 MAR 24  (32)  100 (Weeklys)</t>
  </si>
  <si>
    <t>4 MAR 24  (35)  100 (Weeklys)</t>
  </si>
  <si>
    <t>5 MAR 24  (36)  100 (Weeklys)</t>
  </si>
  <si>
    <t>6 MAR 24  (37)  100 (Weeklys)</t>
  </si>
  <si>
    <t>8 MAR 24  (39)  100 (Weeklys)</t>
  </si>
  <si>
    <t>11 MAR 24  (42)  100 (Weeklys)</t>
  </si>
  <si>
    <t>15 MAR 24  (45)  100</t>
  </si>
  <si>
    <t>15 MAR 24  (46)  100 (Weeklys)</t>
  </si>
  <si>
    <t>28 MAR 24  (59)  100 (Quarterlys)</t>
  </si>
  <si>
    <t>19 APR 24  (80)  100</t>
  </si>
  <si>
    <t>19 APR 24  (81)  100 (Weeklys)</t>
  </si>
  <si>
    <t>30 APR 24  (92)  100 (Weeklys)</t>
  </si>
  <si>
    <t>17 MAY 24  (108)  100</t>
  </si>
  <si>
    <t>17 MAY 24  (109)  100 (Weeklys)</t>
  </si>
  <si>
    <t>31 MAY 24  (123)  100 (Weeklys)</t>
  </si>
  <si>
    <t>21 JUN 24  (143)  100</t>
  </si>
  <si>
    <t>21 JUN 24  (144)  100 (Weeklys)</t>
  </si>
  <si>
    <t>28 JUN 24  (151)  100 (Quarterlys)</t>
  </si>
  <si>
    <t>19 JUL 24  (171)  100</t>
  </si>
  <si>
    <t>16 AUG 24  (199)  100</t>
  </si>
  <si>
    <t>20 SEP 24  (234)  100</t>
  </si>
  <si>
    <t>30 SEP 24  (245)  100 (Quarterlys)</t>
  </si>
  <si>
    <t>18 OCT 24  (262)  100</t>
  </si>
  <si>
    <t>15 NOV 24  (290)  100</t>
  </si>
  <si>
    <t>20 DEC 24  (325)  100</t>
  </si>
  <si>
    <t>31 DEC 24  (337)  100 (Quarterlys)</t>
  </si>
  <si>
    <t>17 JAN 25  (353)  100</t>
  </si>
  <si>
    <t>21 FEB 25  (388)  100</t>
  </si>
  <si>
    <t>21 MAR 25  (416)  100</t>
  </si>
  <si>
    <t>20 JUN 25  (507)  100</t>
  </si>
  <si>
    <t>19 DEC 25  (689)  100</t>
  </si>
  <si>
    <t>18 DEC 26  (1053)  100</t>
  </si>
  <si>
    <t>17 DEC 27  (1417)  100</t>
  </si>
  <si>
    <t>15 DEC 28  (1781)  100</t>
  </si>
  <si>
    <t>21 DEC 29  (2152)  100</t>
  </si>
  <si>
    <t>Stock quote and option quote for SPX on 1/29/24 14:43:17</t>
  </si>
  <si>
    <t>QQQ</t>
  </si>
  <si>
    <t>NQ</t>
  </si>
  <si>
    <t>Conversion</t>
  </si>
  <si>
    <t>#GOLD @50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</si>
</sst>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</cellStyleXfs>
  <cellXfs count="11">
    <xf numFmtId="0" fontId="0" fillId="0" borderId="0" xfId="0"/>
    <xf numFmtId="0" fontId="3" fillId="3" borderId="1" xfId="2"/>
    <xf numFmtId="0" fontId="1" fillId="4" borderId="1" xfId="2" applyFont="1" applyFill="1"/>
    <xf numFmtId="0" fontId="1" fillId="4" borderId="2" xfId="2" applyFont="1" applyFill="1" applyBorder="1"/>
    <xf numFmtId="0" fontId="0" fillId="5" borderId="0" xfId="0" applyFill="1"/>
    <xf numFmtId="0" fontId="0" fillId="6" borderId="0" xfId="0" applyFill="1"/>
    <xf numFmtId="0" fontId="5" fillId="5" borderId="0" xfId="1" applyFont="1" applyFill="1"/>
    <xf numFmtId="0" fontId="4" fillId="7" borderId="0" xfId="0" applyFont="1" applyFill="1"/>
    <xf numFmtId="0" fontId="0" fillId="8" borderId="0" xfId="0" applyFill="1"/>
    <xf numFmtId="0" fontId="1" fillId="4" borderId="0" xfId="0" applyFont="1" applyFill="1"/>
    <xf numFmtId="0" fontId="6" fillId="0" borderId="0" xfId="0" applyFont="1"/>
  </cellXfs>
  <cellStyles count="3">
    <cellStyle name="Bad" xfId="1" builtinId="27"/>
    <cellStyle name="Normal" xfId="0" builtinId="0"/>
    <cellStyle name="Output" xfId="2" builtinId="21"/>
  </cellStyles>
  <dxfs count="1">
    <dxf>
      <font>
        <name val="Abadi"/>
        <family val="2"/>
        <scheme val="none"/>
      </font>
      <fill>
        <patternFill>
          <bgColor theme="1"/>
        </patternFill>
      </fill>
    </dxf>
  </dxfs>
  <tableStyles count="1" defaultTableStyle="TableStyleMedium2" defaultPivotStyle="PivotStyleLight16">
    <tableStyle name="Slicer Style 1" pivot="0" table="0" count="1" xr9:uid="{93E951BF-EEE9-4BEF-B8DA-73A9E0FB4B93}">
      <tableStyleElement type="wholeTable" dxfId="0"/>
    </tableStyle>
  </tableStyles>
  <extLst>
    <ext xmlns:x14="http://schemas.microsoft.com/office/spreadsheetml/2009/9/main" uri="{EB79DEF2-80B8-43e5-95BD-54CBDDF9020C}">
      <x14:slicerStyles defaultSlicerStyle="SlicerStyleLight1">
        <x14:slicerStyle name="Slicer Style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0</v>
        <stp/>
        <stp>SHARES</stp>
        <stp>SPX</stp>
        <tr r="I7" s="7"/>
      </tp>
      <tp>
        <v>5864.89</v>
        <stp/>
        <stp>LOW</stp>
        <stp>SPX</stp>
        <tr r="L4" s="7"/>
      </tp>
      <tp>
        <v>-0.75</v>
        <stp/>
        <stp>THETA</stp>
        <stp>.QQQ241106C504</stp>
        <tr r="I10" s="4"/>
      </tp>
      <tp>
        <v>-0.78</v>
        <stp/>
        <stp>THETA</stp>
        <stp>.QQQ241106P504</stp>
        <tr r="P10" s="4"/>
      </tp>
      <tp>
        <v>-0.44</v>
        <stp/>
        <stp>THETA</stp>
        <stp>.QQQ241106C505</stp>
        <tr r="I11" s="4"/>
      </tp>
      <tp>
        <v>-0.47</v>
        <stp/>
        <stp>THETA</stp>
        <stp>.QQQ241106P505</stp>
        <tr r="P11" s="4"/>
      </tp>
      <tp>
        <v>-0.19</v>
        <stp/>
        <stp>THETA</stp>
        <stp>.QQQ241106C506</stp>
        <tr r="I12" s="4"/>
      </tp>
      <tp>
        <v>-0.21</v>
        <stp/>
        <stp>THETA</stp>
        <stp>.QQQ241106P506</stp>
        <tr r="P12" s="4"/>
      </tp>
      <tp>
        <v>-0.08</v>
        <stp/>
        <stp>THETA</stp>
        <stp>.QQQ241106C507</stp>
        <tr r="I13" s="4"/>
      </tp>
      <tp>
        <v>-0.09</v>
        <stp/>
        <stp>THETA</stp>
        <stp>.QQQ241106P507</stp>
        <tr r="P13" s="4"/>
      </tp>
      <tp>
        <v>-0.06</v>
        <stp/>
        <stp>THETA</stp>
        <stp>.QQQ241106C500</stp>
        <tr r="I6" s="4"/>
      </tp>
      <tp>
        <v>-0.11</v>
        <stp/>
        <stp>THETA</stp>
        <stp>.QQQ241106P500</stp>
        <tr r="P6" s="4"/>
      </tp>
      <tp>
        <v>-0.13</v>
        <stp/>
        <stp>THETA</stp>
        <stp>.QQQ241106C501</stp>
        <tr r="I7" s="4"/>
      </tp>
      <tp>
        <v>-0.17</v>
        <stp/>
        <stp>THETA</stp>
        <stp>.QQQ241106P501</stp>
        <tr r="P7" s="4"/>
      </tp>
      <tp>
        <v>-0.23</v>
        <stp/>
        <stp>THETA</stp>
        <stp>.QQQ241106C502</stp>
        <tr r="I8" s="4"/>
      </tp>
      <tp>
        <v>-0.27</v>
        <stp/>
        <stp>THETA</stp>
        <stp>.QQQ241106P502</stp>
        <tr r="P8" s="4"/>
      </tp>
      <tp>
        <v>-0.4</v>
        <stp/>
        <stp>THETA</stp>
        <stp>.QQQ241106C503</stp>
        <tr r="I9" s="4"/>
      </tp>
      <tp>
        <v>-0.46</v>
        <stp/>
        <stp>THETA</stp>
        <stp>.QQQ241106P503</stp>
        <tr r="P9" s="4"/>
      </tp>
      <tp>
        <v>-0.03</v>
        <stp/>
        <stp>THETA</stp>
        <stp>.QQQ241106C508</stp>
        <tr r="I14" s="4"/>
      </tp>
      <tp>
        <v>-0.08</v>
        <stp/>
        <stp>THETA</stp>
        <stp>.QQQ241106P508</stp>
        <tr r="P14" s="4"/>
      </tp>
      <tp>
        <v>-0.02</v>
        <stp/>
        <stp>THETA</stp>
        <stp>.QQQ241106C509</stp>
        <tr r="I15" s="4"/>
      </tp>
      <tp>
        <v>-0.01</v>
        <stp/>
        <stp>THETA</stp>
        <stp>.QQQ241106P509</stp>
        <tr r="P15" s="4"/>
      </tp>
      <tp>
        <v>-0.01</v>
        <stp/>
        <stp>THETA</stp>
        <stp>.QQQ241106C510</stp>
        <tr r="I16" s="4"/>
      </tp>
      <tp>
        <v>0</v>
        <stp/>
        <stp>THETA</stp>
        <stp>.QQQ241106P510</stp>
        <tr r="P16" s="4"/>
      </tp>
      <tp>
        <v>-0.01</v>
        <stp/>
        <stp>THETA</stp>
        <stp>.QQQ241106C511</stp>
        <tr r="I17" s="4"/>
      </tp>
      <tp>
        <v>-0.04</v>
        <stp/>
        <stp>THETA</stp>
        <stp>.QQQ241106P511</stp>
        <tr r="P17" s="4"/>
      </tp>
      <tp>
        <v>-0.01</v>
        <stp/>
        <stp>THETA</stp>
        <stp>.QQQ241106C512</stp>
        <tr r="I18" s="4"/>
      </tp>
      <tp>
        <v>-0.02</v>
        <stp/>
        <stp>THETA</stp>
        <stp>.QQQ241106P512</stp>
        <tr r="P18" s="4"/>
      </tp>
      <tp t="s">
        <v>N/A</v>
        <stp/>
        <stp>EX_DIV_DATE</stp>
        <stp>SPX</stp>
        <tr r="F7" s="7"/>
      </tp>
      <tp>
        <v>5915.69</v>
        <stp/>
        <stp>LAST</stp>
        <stp>SPX</stp>
        <tr r="A4" s="7"/>
      </tp>
      <tp>
        <v>0</v>
        <stp/>
        <stp>THETA</stp>
        <stp>.QQQ241106C496</stp>
        <tr r="I2" s="4"/>
      </tp>
      <tp>
        <v>-0.03</v>
        <stp/>
        <stp>THETA</stp>
        <stp>.QQQ241106P496</stp>
        <tr r="P2" s="4"/>
      </tp>
      <tp>
        <v>-0.01</v>
        <stp/>
        <stp>THETA</stp>
        <stp>.QQQ241106C497</stp>
        <tr r="I3" s="4"/>
      </tp>
      <tp>
        <v>-0.04</v>
        <stp/>
        <stp>THETA</stp>
        <stp>.QQQ241106P497</stp>
        <tr r="P3" s="4"/>
      </tp>
      <tp>
        <v>-0.01</v>
        <stp/>
        <stp>THETA</stp>
        <stp>.QQQ241106C498</stp>
        <tr r="I4" s="4"/>
      </tp>
      <tp>
        <v>-0.05</v>
        <stp/>
        <stp>THETA</stp>
        <stp>.QQQ241106P498</stp>
        <tr r="P4" s="4"/>
      </tp>
      <tp>
        <v>-0.04</v>
        <stp/>
        <stp>THETA</stp>
        <stp>.QQQ241106C499</stp>
        <tr r="I5" s="4"/>
      </tp>
      <tp>
        <v>-7.0000000000000007E-2</v>
        <stp/>
        <stp>THETA</stp>
        <stp>.QQQ241106P499</stp>
        <tr r="P5" s="4"/>
      </tp>
      <tp t="s">
        <v>N/A</v>
        <stp/>
        <stp>VOLUME</stp>
        <stp>SPX</stp>
        <tr r="I4" s="7"/>
      </tp>
      <tp>
        <v>-0.02</v>
        <stp/>
        <stp>DELTA</stp>
        <stp>.QQQ241106P496</stp>
        <tr r="M2" s="4"/>
      </tp>
      <tp>
        <v>1</v>
        <stp/>
        <stp>DELTA</stp>
        <stp>.QQQ241106C496</stp>
        <tr r="F2" s="4"/>
      </tp>
      <tp>
        <v>-0.03</v>
        <stp/>
        <stp>DELTA</stp>
        <stp>.QQQ241106P497</stp>
        <tr r="M3" s="4"/>
      </tp>
      <tp>
        <v>1</v>
        <stp/>
        <stp>DELTA</stp>
        <stp>.QQQ241106C497</stp>
        <tr r="F3" s="4"/>
      </tp>
      <tp>
        <v>-0.03</v>
        <stp/>
        <stp>DELTA</stp>
        <stp>.QQQ241106P498</stp>
        <tr r="M4" s="4"/>
      </tp>
      <tp>
        <v>1</v>
        <stp/>
        <stp>DELTA</stp>
        <stp>.QQQ241106C498</stp>
        <tr r="F4" s="4"/>
      </tp>
      <tp>
        <v>-0.05</v>
        <stp/>
        <stp>DELTA</stp>
        <stp>.QQQ241106P499</stp>
        <tr r="M5" s="4"/>
      </tp>
      <tp>
        <v>0.97</v>
        <stp/>
        <stp>DELTA</stp>
        <stp>.QQQ241106C499</stp>
        <tr r="F5" s="4"/>
      </tp>
      <tp>
        <v>5917.24</v>
        <stp/>
        <stp>ASK</stp>
        <stp>SPX</stp>
        <tr r="F4" s="7"/>
      </tp>
      <tp>
        <v>-1</v>
        <stp/>
        <stp>DELTA</stp>
        <stp>.QQQ241106P510</stp>
        <tr r="M16" s="4"/>
      </tp>
      <tp>
        <v>0.01</v>
        <stp/>
        <stp>DELTA</stp>
        <stp>.QQQ241106C510</stp>
        <tr r="F16" s="4"/>
      </tp>
      <tp>
        <v>-0.95</v>
        <stp/>
        <stp>DELTA</stp>
        <stp>.QQQ241106P511</stp>
        <tr r="M17" s="4"/>
      </tp>
      <tp>
        <v>0.01</v>
        <stp/>
        <stp>DELTA</stp>
        <stp>.QQQ241106C511</stp>
        <tr r="F17" s="4"/>
      </tp>
      <tp>
        <v>-0.95</v>
        <stp/>
        <stp>DELTA</stp>
        <stp>.QQQ241106P512</stp>
        <tr r="M18" s="4"/>
      </tp>
      <tp>
        <v>0.01</v>
        <stp/>
        <stp>DELTA</stp>
        <stp>.QQQ241106C512</stp>
        <tr r="F18" s="4"/>
      </tp>
      <tp>
        <v>-0.47</v>
        <stp/>
        <stp>DELTA</stp>
        <stp>.QQQ241106P504</stp>
        <tr r="M10" s="4"/>
      </tp>
      <tp>
        <v>0.53</v>
        <stp/>
        <stp>DELTA</stp>
        <stp>.QQQ241106C504</stp>
        <tr r="F10" s="4"/>
      </tp>
      <tp>
        <v>-0.66</v>
        <stp/>
        <stp>DELTA</stp>
        <stp>.QQQ241106P505</stp>
        <tr r="M11" s="4"/>
      </tp>
      <tp>
        <v>0.34</v>
        <stp/>
        <stp>DELTA</stp>
        <stp>.QQQ241106C505</stp>
        <tr r="F11" s="4"/>
      </tp>
      <tp>
        <v>-0.81</v>
        <stp/>
        <stp>DELTA</stp>
        <stp>.QQQ241106P506</stp>
        <tr r="M12" s="4"/>
      </tp>
      <tp>
        <v>0.18</v>
        <stp/>
        <stp>DELTA</stp>
        <stp>.QQQ241106C506</stp>
        <tr r="F12" s="4"/>
      </tp>
      <tp>
        <v>-0.9</v>
        <stp/>
        <stp>DELTA</stp>
        <stp>.QQQ241106P507</stp>
        <tr r="M13" s="4"/>
      </tp>
      <tp>
        <v>0.08</v>
        <stp/>
        <stp>DELTA</stp>
        <stp>.QQQ241106C507</stp>
        <tr r="F13" s="4"/>
      </tp>
      <tp>
        <v>-0.08</v>
        <stp/>
        <stp>DELTA</stp>
        <stp>.QQQ241106P500</stp>
        <tr r="M6" s="4"/>
      </tp>
      <tp>
        <v>0.95</v>
        <stp/>
        <stp>DELTA</stp>
        <stp>.QQQ241106C500</stp>
        <tr r="F6" s="4"/>
      </tp>
      <tp>
        <v>-0.12</v>
        <stp/>
        <stp>DELTA</stp>
        <stp>.QQQ241106P501</stp>
        <tr r="M7" s="4"/>
      </tp>
      <tp>
        <v>0.9</v>
        <stp/>
        <stp>DELTA</stp>
        <stp>.QQQ241106C501</stp>
        <tr r="F7" s="4"/>
      </tp>
      <tp>
        <v>-0.19</v>
        <stp/>
        <stp>DELTA</stp>
        <stp>.QQQ241106P502</stp>
        <tr r="M8" s="4"/>
      </tp>
      <tp>
        <v>0.82</v>
        <stp/>
        <stp>DELTA</stp>
        <stp>.QQQ241106C502</stp>
        <tr r="F8" s="4"/>
      </tp>
      <tp>
        <v>-0.31</v>
        <stp/>
        <stp>DELTA</stp>
        <stp>.QQQ241106P503</stp>
        <tr r="M9" s="4"/>
      </tp>
      <tp>
        <v>0.71</v>
        <stp/>
        <stp>DELTA</stp>
        <stp>.QQQ241106C503</stp>
        <tr r="F9" s="4"/>
      </tp>
      <tp>
        <v>-0.92</v>
        <stp/>
        <stp>DELTA</stp>
        <stp>.QQQ241106P508</stp>
        <tr r="M14" s="4"/>
      </tp>
      <tp>
        <v>0.03</v>
        <stp/>
        <stp>DELTA</stp>
        <stp>.QQQ241106C508</stp>
        <tr r="F14" s="4"/>
      </tp>
      <tp>
        <v>-0.95</v>
        <stp/>
        <stp>DELTA</stp>
        <stp>.QQQ241106P509</stp>
        <tr r="M15" s="4"/>
      </tp>
      <tp>
        <v>0.02</v>
        <stp/>
        <stp>DELTA</stp>
        <stp>.QQQ241106C509</stp>
        <tr r="F15" s="4"/>
      </tp>
      <tp>
        <v>5914.15</v>
        <stp/>
        <stp>BID</stp>
        <stp>SPX</stp>
        <tr r="D4" s="7"/>
      </tp>
      <tp>
        <v>504.17</v>
        <stp/>
        <stp>ASK</stp>
        <stp>QQQ</stp>
        <tr r="C2" s="4"/>
        <tr r="T1" s="4"/>
      </tp>
      <tp t="s">
        <v>N/A</v>
        <stp/>
        <stp>DIV</stp>
        <stp>SPX</stp>
        <tr r="D7" s="7"/>
      </tp>
      <tp>
        <v>0.03</v>
        <stp/>
        <stp>GAMMA</stp>
        <stp>.QQQ241106P499</stp>
        <tr r="O5" s="4"/>
      </tp>
      <tp>
        <v>0.02</v>
        <stp/>
        <stp>GAMMA</stp>
        <stp>.QQQ241106C499</stp>
        <tr r="H5" s="4"/>
      </tp>
      <tp>
        <v>0.02</v>
        <stp/>
        <stp>GAMMA</stp>
        <stp>.QQQ241106P498</stp>
        <tr r="O4" s="4"/>
      </tp>
      <tp>
        <v>0.01</v>
        <stp/>
        <stp>GAMMA</stp>
        <stp>.QQQ241106C498</stp>
        <tr r="H4" s="4"/>
      </tp>
      <tp>
        <v>0.02</v>
        <stp/>
        <stp>GAMMA</stp>
        <stp>.QQQ241106P497</stp>
        <tr r="O3" s="4"/>
      </tp>
      <tp>
        <v>0</v>
        <stp/>
        <stp>GAMMA</stp>
        <stp>.QQQ241106C497</stp>
        <tr r="H3" s="4"/>
      </tp>
      <tp>
        <v>0.01</v>
        <stp/>
        <stp>GAMMA</stp>
        <stp>.QQQ241106P496</stp>
        <tr r="O2" s="4"/>
      </tp>
      <tp>
        <v>0</v>
        <stp/>
        <stp>GAMMA</stp>
        <stp>.QQQ241106C496</stp>
        <tr r="H2" s="4"/>
      </tp>
      <tp>
        <v>5917.88</v>
        <stp/>
        <stp>HIGH</stp>
        <stp>SPX</stp>
        <tr r="K4" s="7"/>
      </tp>
      <tp>
        <v>0.01</v>
        <stp/>
        <stp>GAMMA</stp>
        <stp>.QQQ241106P509</stp>
        <tr r="O15" s="4"/>
      </tp>
      <tp>
        <v>0.02</v>
        <stp/>
        <stp>GAMMA</stp>
        <stp>.QQQ241106C509</stp>
        <tr r="H15" s="4"/>
      </tp>
      <tp>
        <v>0.05</v>
        <stp/>
        <stp>GAMMA</stp>
        <stp>.QQQ241106P508</stp>
        <tr r="O14" s="4"/>
      </tp>
      <tp>
        <v>0.03</v>
        <stp/>
        <stp>GAMMA</stp>
        <stp>.QQQ241106C508</stp>
        <tr r="H14" s="4"/>
      </tp>
      <tp>
        <v>0.18</v>
        <stp/>
        <stp>GAMMA</stp>
        <stp>.QQQ241106P505</stp>
        <tr r="O11" s="4"/>
      </tp>
      <tp>
        <v>0.19</v>
        <stp/>
        <stp>GAMMA</stp>
        <stp>.QQQ241106C505</stp>
        <tr r="H11" s="4"/>
      </tp>
      <tp>
        <v>0.19</v>
        <stp/>
        <stp>GAMMA</stp>
        <stp>.QQQ241106P504</stp>
        <tr r="O10" s="4"/>
      </tp>
      <tp>
        <v>0.19</v>
        <stp/>
        <stp>GAMMA</stp>
        <stp>.QQQ241106C504</stp>
        <tr r="H10" s="4"/>
      </tp>
      <tp>
        <v>7.0000000000000007E-2</v>
        <stp/>
        <stp>GAMMA</stp>
        <stp>.QQQ241106P507</stp>
        <tr r="O13" s="4"/>
      </tp>
      <tp>
        <v>7.0000000000000007E-2</v>
        <stp/>
        <stp>GAMMA</stp>
        <stp>.QQQ241106C507</stp>
        <tr r="H13" s="4"/>
      </tp>
      <tp>
        <v>0.13</v>
        <stp/>
        <stp>GAMMA</stp>
        <stp>.QQQ241106P506</stp>
        <tr r="O12" s="4"/>
      </tp>
      <tp>
        <v>0.13</v>
        <stp/>
        <stp>GAMMA</stp>
        <stp>.QQQ241106C506</stp>
        <tr r="H12" s="4"/>
      </tp>
      <tp>
        <v>7.0000000000000007E-2</v>
        <stp/>
        <stp>GAMMA</stp>
        <stp>.QQQ241106P501</stp>
        <tr r="O7" s="4"/>
      </tp>
      <tp>
        <v>7.0000000000000007E-2</v>
        <stp/>
        <stp>GAMMA</stp>
        <stp>.QQQ241106C501</stp>
        <tr r="H7" s="4"/>
      </tp>
      <tp>
        <v>0.05</v>
        <stp/>
        <stp>GAMMA</stp>
        <stp>.QQQ241106P500</stp>
        <tr r="O6" s="4"/>
      </tp>
      <tp>
        <v>0.04</v>
        <stp/>
        <stp>GAMMA</stp>
        <stp>.QQQ241106C500</stp>
        <tr r="H6" s="4"/>
      </tp>
      <tp>
        <v>0.15</v>
        <stp/>
        <stp>GAMMA</stp>
        <stp>.QQQ241106P503</stp>
        <tr r="O9" s="4"/>
      </tp>
      <tp>
        <v>0.16</v>
        <stp/>
        <stp>GAMMA</stp>
        <stp>.QQQ241106C503</stp>
        <tr r="H9" s="4"/>
      </tp>
      <tp>
        <v>0.11</v>
        <stp/>
        <stp>GAMMA</stp>
        <stp>.QQQ241106P502</stp>
        <tr r="O8" s="4"/>
      </tp>
      <tp>
        <v>0.11</v>
        <stp/>
        <stp>GAMMA</stp>
        <stp>.QQQ241106C502</stp>
        <tr r="H8" s="4"/>
      </tp>
      <tp>
        <v>0.01</v>
        <stp/>
        <stp>GAMMA</stp>
        <stp>.QQQ241106P511</stp>
        <tr r="O17" s="4"/>
      </tp>
      <tp>
        <v>0.01</v>
        <stp/>
        <stp>GAMMA</stp>
        <stp>.QQQ241106C511</stp>
        <tr r="H17" s="4"/>
      </tp>
      <tp>
        <v>0</v>
        <stp/>
        <stp>GAMMA</stp>
        <stp>.QQQ241106P510</stp>
        <tr r="O16" s="4"/>
      </tp>
      <tp>
        <v>0.01</v>
        <stp/>
        <stp>GAMMA</stp>
        <stp>.QQQ241106C510</stp>
        <tr r="H16" s="4"/>
      </tp>
      <tp>
        <v>0.01</v>
        <stp/>
        <stp>GAMMA</stp>
        <stp>.QQQ241106P512</stp>
        <tr r="O18" s="4"/>
      </tp>
      <tp>
        <v>0</v>
        <stp/>
        <stp>GAMMA</stp>
        <stp>.QQQ241106C512</stp>
        <tr r="H18" s="4"/>
      </tp>
      <tp>
        <v>5864.89</v>
        <stp/>
        <stp>OPEN</stp>
        <stp>SPX</stp>
        <tr r="J4" s="7"/>
      </tp>
      <tp>
        <v>5878.46</v>
        <stp/>
        <stp>52HIGH</stp>
        <stp>SPX</stp>
        <tr r="G7" s="7"/>
      </tp>
      <tp>
        <v>139.80000000000001</v>
        <stp/>
        <stp>ASK</stp>
        <stp>.SPXW240129C4795</stp>
        <tr r="I119" s="7"/>
      </tp>
      <tp>
        <v>144.80000000000001</v>
        <stp/>
        <stp>ASK</stp>
        <stp>.SPXW240129C4790</stp>
        <tr r="I118" s="7"/>
      </tp>
      <tp>
        <v>0.05</v>
        <stp/>
        <stp>ASK</stp>
        <stp>.SPXW240129P4795</stp>
        <tr r="O119" s="7"/>
      </tp>
      <tp>
        <v>0.05</v>
        <stp/>
        <stp>ASK</stp>
        <stp>.SPXW240129P4790</stp>
        <tr r="O118" s="7"/>
      </tp>
      <tp>
        <v>149.69999999999999</v>
        <stp/>
        <stp>ASK</stp>
        <stp>.SPXW240129C4785</stp>
        <tr r="I117" s="7"/>
      </tp>
      <tp>
        <v>154.69999999999999</v>
        <stp/>
        <stp>ASK</stp>
        <stp>.SPXW240129C4780</stp>
        <tr r="I116" s="7"/>
      </tp>
      <tp>
        <v>0.05</v>
        <stp/>
        <stp>ASK</stp>
        <stp>.SPXW240129P4785</stp>
        <tr r="O117" s="7"/>
      </tp>
      <tp>
        <v>0.05</v>
        <stp/>
        <stp>ASK</stp>
        <stp>.SPXW240129P4780</stp>
        <tr r="O116" s="7"/>
      </tp>
      <tp>
        <v>159.69999999999999</v>
        <stp/>
        <stp>ASK</stp>
        <stp>.SPXW240129C4775</stp>
        <tr r="I115" s="7"/>
      </tp>
      <tp>
        <v>164.7</v>
        <stp/>
        <stp>ASK</stp>
        <stp>.SPXW240129C4770</stp>
        <tr r="I114" s="7"/>
      </tp>
      <tp>
        <v>0.05</v>
        <stp/>
        <stp>ASK</stp>
        <stp>.SPXW240129P4775</stp>
        <tr r="O115" s="7"/>
      </tp>
      <tp>
        <v>0.05</v>
        <stp/>
        <stp>ASK</stp>
        <stp>.SPXW240129P4770</stp>
        <tr r="O114" s="7"/>
      </tp>
      <tp>
        <v>169.7</v>
        <stp/>
        <stp>ASK</stp>
        <stp>.SPXW240129C4765</stp>
        <tr r="I113" s="7"/>
      </tp>
      <tp>
        <v>174.7</v>
        <stp/>
        <stp>ASK</stp>
        <stp>.SPXW240129C4760</stp>
        <tr r="I112" s="7"/>
      </tp>
      <tp>
        <v>0.05</v>
        <stp/>
        <stp>ASK</stp>
        <stp>.SPXW240129P4765</stp>
        <tr r="O113" s="7"/>
      </tp>
      <tp>
        <v>0.05</v>
        <stp/>
        <stp>ASK</stp>
        <stp>.SPXW240129P4760</stp>
        <tr r="O112" s="7"/>
      </tp>
      <tp>
        <v>179.7</v>
        <stp/>
        <stp>ASK</stp>
        <stp>.SPXW240129C4755</stp>
        <tr r="I111" s="7"/>
      </tp>
      <tp>
        <v>1187.7</v>
        <stp/>
        <stp>ASK</stp>
        <stp>.SPXW240129C3750</stp>
        <tr r="I26" s="7"/>
      </tp>
      <tp>
        <v>184.7</v>
        <stp/>
        <stp>ASK</stp>
        <stp>.SPXW240129C4750</stp>
        <tr r="I110" s="7"/>
      </tp>
      <tp>
        <v>0.05</v>
        <stp/>
        <stp>ASK</stp>
        <stp>.SPXW240129P4755</stp>
        <tr r="O111" s="7"/>
      </tp>
      <tp>
        <v>0.05</v>
        <stp/>
        <stp>ASK</stp>
        <stp>.SPXW240129P3750</stp>
        <tr r="O26" s="7"/>
      </tp>
      <tp>
        <v>0.05</v>
        <stp/>
        <stp>ASK</stp>
        <stp>.SPXW240129P4750</stp>
        <tr r="O110" s="7"/>
      </tp>
      <tp>
        <v>189.7</v>
        <stp/>
        <stp>ASK</stp>
        <stp>.SPXW240129C4745</stp>
        <tr r="I109" s="7"/>
      </tp>
      <tp>
        <v>194.8</v>
        <stp/>
        <stp>ASK</stp>
        <stp>.SPXW240129C4740</stp>
        <tr r="I108" s="7"/>
      </tp>
      <tp>
        <v>0.05</v>
        <stp/>
        <stp>ASK</stp>
        <stp>.SPXW240129P4745</stp>
        <tr r="O109" s="7"/>
      </tp>
      <tp>
        <v>0.05</v>
        <stp/>
        <stp>ASK</stp>
        <stp>.SPXW240129P4740</stp>
        <tr r="O108" s="7"/>
      </tp>
      <tp>
        <v>199.8</v>
        <stp/>
        <stp>ASK</stp>
        <stp>.SPXW240129C4735</stp>
        <tr r="I107" s="7"/>
      </tp>
      <tp>
        <v>204.8</v>
        <stp/>
        <stp>ASK</stp>
        <stp>.SPXW240129C4730</stp>
        <tr r="I106" s="7"/>
      </tp>
      <tp>
        <v>0.05</v>
        <stp/>
        <stp>ASK</stp>
        <stp>.SPXW240129P4735</stp>
        <tr r="O107" s="7"/>
      </tp>
      <tp>
        <v>0.05</v>
        <stp/>
        <stp>ASK</stp>
        <stp>.SPXW240129P4730</stp>
        <tr r="O106" s="7"/>
      </tp>
      <tp>
        <v>209.8</v>
        <stp/>
        <stp>ASK</stp>
        <stp>.SPXW240129C4725</stp>
        <tr r="I105" s="7"/>
      </tp>
      <tp>
        <v>214.8</v>
        <stp/>
        <stp>ASK</stp>
        <stp>.SPXW240129C4720</stp>
        <tr r="I104" s="7"/>
      </tp>
      <tp>
        <v>0.05</v>
        <stp/>
        <stp>ASK</stp>
        <stp>.SPXW240129P4725</stp>
        <tr r="O105" s="7"/>
      </tp>
      <tp>
        <v>0.05</v>
        <stp/>
        <stp>ASK</stp>
        <stp>.SPXW240129P4720</stp>
        <tr r="O104" s="7"/>
      </tp>
      <tp>
        <v>219.7</v>
        <stp/>
        <stp>ASK</stp>
        <stp>.SPXW240129C4715</stp>
        <tr r="I103" s="7"/>
      </tp>
      <tp>
        <v>226.3</v>
        <stp/>
        <stp>ASK</stp>
        <stp>.SPXW240129C4710</stp>
        <tr r="I102" s="7"/>
      </tp>
      <tp>
        <v>0.05</v>
        <stp/>
        <stp>ASK</stp>
        <stp>.SPXW240129P4715</stp>
        <tr r="O103" s="7"/>
      </tp>
      <tp>
        <v>0.05</v>
        <stp/>
        <stp>ASK</stp>
        <stp>.SPXW240129P4710</stp>
        <tr r="O102" s="7"/>
      </tp>
      <tp>
        <v>232.7</v>
        <stp/>
        <stp>ASK</stp>
        <stp>.SPXW240129C4705</stp>
        <tr r="I101" s="7"/>
      </tp>
      <tp>
        <v>1237.7</v>
        <stp/>
        <stp>ASK</stp>
        <stp>.SPXW240129C3700</stp>
        <tr r="I25" s="7"/>
      </tp>
      <tp>
        <v>237.7</v>
        <stp/>
        <stp>ASK</stp>
        <stp>.SPXW240129C4700</stp>
        <tr r="I100" s="7"/>
      </tp>
      <tp>
        <v>0.05</v>
        <stp/>
        <stp>ASK</stp>
        <stp>.SPXW240129P4705</stp>
        <tr r="O101" s="7"/>
      </tp>
      <tp>
        <v>0.05</v>
        <stp/>
        <stp>ASK</stp>
        <stp>.SPXW240129P3700</stp>
        <tr r="O25" s="7"/>
      </tp>
      <tp>
        <v>0.05</v>
        <stp/>
        <stp>ASK</stp>
        <stp>.SPXW240129P4700</stp>
        <tr r="O100" s="7"/>
      </tp>
      <tp>
        <v>242.7</v>
        <stp/>
        <stp>ASK</stp>
        <stp>.SPXW240129C4695</stp>
        <tr r="I99" s="7"/>
      </tp>
      <tp>
        <v>247.7</v>
        <stp/>
        <stp>ASK</stp>
        <stp>.SPXW240129C4690</stp>
        <tr r="I98" s="7"/>
      </tp>
      <tp>
        <v>0.05</v>
        <stp/>
        <stp>ASK</stp>
        <stp>.SPXW240129P4695</stp>
        <tr r="O99" s="7"/>
      </tp>
      <tp>
        <v>0.05</v>
        <stp/>
        <stp>ASK</stp>
        <stp>.SPXW240129P4690</stp>
        <tr r="O98" s="7"/>
      </tp>
      <tp>
        <v>252.7</v>
        <stp/>
        <stp>ASK</stp>
        <stp>.SPXW240129C4685</stp>
        <tr r="I97" s="7"/>
      </tp>
      <tp>
        <v>257.7</v>
        <stp/>
        <stp>ASK</stp>
        <stp>.SPXW240129C4680</stp>
        <tr r="I96" s="7"/>
      </tp>
      <tp>
        <v>0.05</v>
        <stp/>
        <stp>ASK</stp>
        <stp>.SPXW240129P4685</stp>
        <tr r="O97" s="7"/>
      </tp>
      <tp>
        <v>0.05</v>
        <stp/>
        <stp>ASK</stp>
        <stp>.SPXW240129P4680</stp>
        <tr r="O96" s="7"/>
      </tp>
      <tp>
        <v>262.7</v>
        <stp/>
        <stp>ASK</stp>
        <stp>.SPXW240129C4675</stp>
        <tr r="I95" s="7"/>
      </tp>
      <tp>
        <v>267.7</v>
        <stp/>
        <stp>ASK</stp>
        <stp>.SPXW240129C4670</stp>
        <tr r="I94" s="7"/>
      </tp>
      <tp>
        <v>0.05</v>
        <stp/>
        <stp>ASK</stp>
        <stp>.SPXW240129P4675</stp>
        <tr r="O95" s="7"/>
      </tp>
      <tp>
        <v>0.05</v>
        <stp/>
        <stp>ASK</stp>
        <stp>.SPXW240129P4670</stp>
        <tr r="O94" s="7"/>
      </tp>
      <tp>
        <v>272.7</v>
        <stp/>
        <stp>ASK</stp>
        <stp>.SPXW240129C4665</stp>
        <tr r="I93" s="7"/>
      </tp>
      <tp>
        <v>277.7</v>
        <stp/>
        <stp>ASK</stp>
        <stp>.SPXW240129C4660</stp>
        <tr r="I92" s="7"/>
      </tp>
      <tp>
        <v>0.05</v>
        <stp/>
        <stp>ASK</stp>
        <stp>.SPXW240129P4665</stp>
        <tr r="O93" s="7"/>
      </tp>
      <tp>
        <v>0.05</v>
        <stp/>
        <stp>ASK</stp>
        <stp>.SPXW240129P4660</stp>
        <tr r="O92" s="7"/>
      </tp>
      <tp>
        <v>282.7</v>
        <stp/>
        <stp>ASK</stp>
        <stp>.SPXW240129C4655</stp>
        <tr r="I91" s="7"/>
      </tp>
      <tp>
        <v>1287.7</v>
        <stp/>
        <stp>ASK</stp>
        <stp>.SPXW240129C3650</stp>
        <tr r="I24" s="7"/>
      </tp>
      <tp>
        <v>287.7</v>
        <stp/>
        <stp>ASK</stp>
        <stp>.SPXW240129C4650</stp>
        <tr r="I90" s="7"/>
      </tp>
      <tp>
        <v>0.05</v>
        <stp/>
        <stp>ASK</stp>
        <stp>.SPXW240129P4655</stp>
        <tr r="O91" s="7"/>
      </tp>
      <tp>
        <v>0.05</v>
        <stp/>
        <stp>ASK</stp>
        <stp>.SPXW240129P3650</stp>
        <tr r="O24" s="7"/>
      </tp>
      <tp>
        <v>0.05</v>
        <stp/>
        <stp>ASK</stp>
        <stp>.SPXW240129P4650</stp>
        <tr r="O90" s="7"/>
      </tp>
      <tp>
        <v>292.7</v>
        <stp/>
        <stp>ASK</stp>
        <stp>.SPXW240129C4645</stp>
        <tr r="I89" s="7"/>
      </tp>
      <tp>
        <v>297.7</v>
        <stp/>
        <stp>ASK</stp>
        <stp>.SPXW240129C4640</stp>
        <tr r="I88" s="7"/>
      </tp>
      <tp>
        <v>0.05</v>
        <stp/>
        <stp>ASK</stp>
        <stp>.SPXW240129P4645</stp>
        <tr r="O89" s="7"/>
      </tp>
      <tp>
        <v>0.05</v>
        <stp/>
        <stp>ASK</stp>
        <stp>.SPXW240129P4640</stp>
        <tr r="O88" s="7"/>
      </tp>
      <tp>
        <v>302.7</v>
        <stp/>
        <stp>ASK</stp>
        <stp>.SPXW240129C4635</stp>
        <tr r="I87" s="7"/>
      </tp>
      <tp>
        <v>307.7</v>
        <stp/>
        <stp>ASK</stp>
        <stp>.SPXW240129C4630</stp>
        <tr r="I86" s="7"/>
      </tp>
      <tp>
        <v>0.05</v>
        <stp/>
        <stp>ASK</stp>
        <stp>.SPXW240129P4635</stp>
        <tr r="O87" s="7"/>
      </tp>
      <tp>
        <v>0.05</v>
        <stp/>
        <stp>ASK</stp>
        <stp>.SPXW240129P4630</stp>
        <tr r="O86" s="7"/>
      </tp>
      <tp>
        <v>312.7</v>
        <stp/>
        <stp>ASK</stp>
        <stp>.SPXW240129C4625</stp>
        <tr r="I85" s="7"/>
      </tp>
      <tp>
        <v>317.7</v>
        <stp/>
        <stp>ASK</stp>
        <stp>.SPXW240129C4620</stp>
        <tr r="I84" s="7"/>
      </tp>
      <tp>
        <v>0.05</v>
        <stp/>
        <stp>ASK</stp>
        <stp>.SPXW240129P4625</stp>
        <tr r="O85" s="7"/>
      </tp>
      <tp>
        <v>0.05</v>
        <stp/>
        <stp>ASK</stp>
        <stp>.SPXW240129P4620</stp>
        <tr r="O84" s="7"/>
      </tp>
      <tp>
        <v>322.7</v>
        <stp/>
        <stp>ASK</stp>
        <stp>.SPXW240129C4615</stp>
        <tr r="I83" s="7"/>
      </tp>
      <tp>
        <v>327.7</v>
        <stp/>
        <stp>ASK</stp>
        <stp>.SPXW240129C4610</stp>
        <tr r="I82" s="7"/>
      </tp>
      <tp>
        <v>0.05</v>
        <stp/>
        <stp>ASK</stp>
        <stp>.SPXW240129P4615</stp>
        <tr r="O83" s="7"/>
      </tp>
      <tp>
        <v>0.05</v>
        <stp/>
        <stp>ASK</stp>
        <stp>.SPXW240129P4610</stp>
        <tr r="O82" s="7"/>
      </tp>
      <tp>
        <v>332.7</v>
        <stp/>
        <stp>ASK</stp>
        <stp>.SPXW240129C4605</stp>
        <tr r="I81" s="7"/>
      </tp>
      <tp>
        <v>2337.6999999999998</v>
        <stp/>
        <stp>ASK</stp>
        <stp>.SPXW240129C2600</stp>
        <tr r="I17" s="7"/>
      </tp>
      <tp>
        <v>1337.7</v>
        <stp/>
        <stp>ASK</stp>
        <stp>.SPXW240129C3600</stp>
        <tr r="I23" s="7"/>
      </tp>
      <tp>
        <v>3337.5</v>
        <stp/>
        <stp>ASK</stp>
        <stp>.SPXW240129C1600</stp>
        <tr r="I12" s="7"/>
      </tp>
      <tp>
        <v>337.7</v>
        <stp/>
        <stp>ASK</stp>
        <stp>.SPXW240129C4600</stp>
        <tr r="I80" s="7"/>
      </tp>
      <tp>
        <v>0.05</v>
        <stp/>
        <stp>ASK</stp>
        <stp>.SPXW240129C5600</stp>
        <tr r="I184" s="7"/>
      </tp>
      <tp>
        <v>0.05</v>
        <stp/>
        <stp>ASK</stp>
        <stp>.SPXW240129P4605</stp>
        <tr r="O81" s="7"/>
      </tp>
      <tp>
        <v>0.05</v>
        <stp/>
        <stp>ASK</stp>
        <stp>.SPXW240129P2600</stp>
        <tr r="O17" s="7"/>
      </tp>
      <tp>
        <v>0.05</v>
        <stp/>
        <stp>ASK</stp>
        <stp>.SPXW240129P3600</stp>
        <tr r="O23" s="7"/>
      </tp>
      <tp>
        <v>0.05</v>
        <stp/>
        <stp>ASK</stp>
        <stp>.SPXW240129P1600</stp>
        <tr r="O12" s="7"/>
      </tp>
      <tp>
        <v>0.05</v>
        <stp/>
        <stp>ASK</stp>
        <stp>.SPXW240129P4600</stp>
        <tr r="O80" s="7"/>
      </tp>
      <tp>
        <v>680.7</v>
        <stp/>
        <stp>ASK</stp>
        <stp>.SPXW240129P5600</stp>
        <tr r="O184" s="7"/>
      </tp>
      <tp>
        <v>342.7</v>
        <stp/>
        <stp>ASK</stp>
        <stp>.SPXW240129C4595</stp>
        <tr r="I79" s="7"/>
      </tp>
      <tp>
        <v>347.7</v>
        <stp/>
        <stp>ASK</stp>
        <stp>.SPXW240129C4590</stp>
        <tr r="I78" s="7"/>
      </tp>
      <tp>
        <v>0.05</v>
        <stp/>
        <stp>ASK</stp>
        <stp>.SPXW240129P4595</stp>
        <tr r="O79" s="7"/>
      </tp>
      <tp>
        <v>0.05</v>
        <stp/>
        <stp>ASK</stp>
        <stp>.SPXW240129P4590</stp>
        <tr r="O78" s="7"/>
      </tp>
      <tp>
        <v>352.7</v>
        <stp/>
        <stp>ASK</stp>
        <stp>.SPXW240129C4585</stp>
        <tr r="I77" s="7"/>
      </tp>
      <tp>
        <v>357.7</v>
        <stp/>
        <stp>ASK</stp>
        <stp>.SPXW240129C4580</stp>
        <tr r="I76" s="7"/>
      </tp>
      <tp>
        <v>0.05</v>
        <stp/>
        <stp>ASK</stp>
        <stp>.SPXW240129P4585</stp>
        <tr r="O77" s="7"/>
      </tp>
      <tp>
        <v>0.05</v>
        <stp/>
        <stp>ASK</stp>
        <stp>.SPXW240129P4580</stp>
        <tr r="O76" s="7"/>
      </tp>
      <tp>
        <v>362.7</v>
        <stp/>
        <stp>ASK</stp>
        <stp>.SPXW240129C4575</stp>
        <tr r="I75" s="7"/>
      </tp>
      <tp>
        <v>367.7</v>
        <stp/>
        <stp>ASK</stp>
        <stp>.SPXW240129C4570</stp>
        <tr r="I74" s="7"/>
      </tp>
      <tp>
        <v>0.05</v>
        <stp/>
        <stp>ASK</stp>
        <stp>.SPXW240129P4575</stp>
        <tr r="O75" s="7"/>
      </tp>
      <tp>
        <v>0.05</v>
        <stp/>
        <stp>ASK</stp>
        <stp>.SPXW240129P4570</stp>
        <tr r="O74" s="7"/>
      </tp>
      <tp>
        <v>372.7</v>
        <stp/>
        <stp>ASK</stp>
        <stp>.SPXW240129C4565</stp>
        <tr r="I73" s="7"/>
      </tp>
      <tp>
        <v>377.7</v>
        <stp/>
        <stp>ASK</stp>
        <stp>.SPXW240129C4560</stp>
        <tr r="I72" s="7"/>
      </tp>
      <tp>
        <v>0.05</v>
        <stp/>
        <stp>ASK</stp>
        <stp>.SPXW240129P4565</stp>
        <tr r="O73" s="7"/>
      </tp>
      <tp>
        <v>0.05</v>
        <stp/>
        <stp>ASK</stp>
        <stp>.SPXW240129P4560</stp>
        <tr r="O72" s="7"/>
      </tp>
      <tp>
        <v>382.7</v>
        <stp/>
        <stp>ASK</stp>
        <stp>.SPXW240129C4555</stp>
        <tr r="I71" s="7"/>
      </tp>
      <tp>
        <v>387.7</v>
        <stp/>
        <stp>ASK</stp>
        <stp>.SPXW240129C4550</stp>
        <tr r="I70" s="7"/>
      </tp>
      <tp>
        <v>0.05</v>
        <stp/>
        <stp>ASK</stp>
        <stp>.SPXW240129P4555</stp>
        <tr r="O71" s="7"/>
      </tp>
      <tp>
        <v>0.05</v>
        <stp/>
        <stp>ASK</stp>
        <stp>.SPXW240129P4550</stp>
        <tr r="O70" s="7"/>
      </tp>
      <tp>
        <v>392.7</v>
        <stp/>
        <stp>ASK</stp>
        <stp>.SPXW240129C4545</stp>
        <tr r="I69" s="7"/>
      </tp>
      <tp>
        <v>397.7</v>
        <stp/>
        <stp>ASK</stp>
        <stp>.SPXW240129C4540</stp>
        <tr r="I68" s="7"/>
      </tp>
      <tp>
        <v>0.05</v>
        <stp/>
        <stp>ASK</stp>
        <stp>.SPXW240129P4545</stp>
        <tr r="O69" s="7"/>
      </tp>
      <tp>
        <v>0.05</v>
        <stp/>
        <stp>ASK</stp>
        <stp>.SPXW240129P4540</stp>
        <tr r="O68" s="7"/>
      </tp>
      <tp>
        <v>402.7</v>
        <stp/>
        <stp>ASK</stp>
        <stp>.SPXW240129C4535</stp>
        <tr r="I67" s="7"/>
      </tp>
      <tp>
        <v>407.7</v>
        <stp/>
        <stp>ASK</stp>
        <stp>.SPXW240129C4530</stp>
        <tr r="I66" s="7"/>
      </tp>
      <tp>
        <v>0.05</v>
        <stp/>
        <stp>ASK</stp>
        <stp>.SPXW240129P4535</stp>
        <tr r="O67" s="7"/>
      </tp>
      <tp>
        <v>0.05</v>
        <stp/>
        <stp>ASK</stp>
        <stp>.SPXW240129P4530</stp>
        <tr r="O66" s="7"/>
      </tp>
      <tp>
        <v>412.7</v>
        <stp/>
        <stp>ASK</stp>
        <stp>.SPXW240129C4525</stp>
        <tr r="I65" s="7"/>
      </tp>
      <tp>
        <v>417.7</v>
        <stp/>
        <stp>ASK</stp>
        <stp>.SPXW240129C4520</stp>
        <tr r="I64" s="7"/>
      </tp>
      <tp>
        <v>0.05</v>
        <stp/>
        <stp>ASK</stp>
        <stp>.SPXW240129P4525</stp>
        <tr r="O65" s="7"/>
      </tp>
      <tp>
        <v>0.05</v>
        <stp/>
        <stp>ASK</stp>
        <stp>.SPXW240129P4520</stp>
        <tr r="O64" s="7"/>
      </tp>
      <tp>
        <v>422.7</v>
        <stp/>
        <stp>ASK</stp>
        <stp>.SPXW240129C4515</stp>
        <tr r="I63" s="7"/>
      </tp>
      <tp>
        <v>427.7</v>
        <stp/>
        <stp>ASK</stp>
        <stp>.SPXW240129C4510</stp>
        <tr r="I62" s="7"/>
      </tp>
      <tp>
        <v>0.05</v>
        <stp/>
        <stp>ASK</stp>
        <stp>.SPXW240129P4515</stp>
        <tr r="O63" s="7"/>
      </tp>
      <tp>
        <v>0.05</v>
        <stp/>
        <stp>ASK</stp>
        <stp>.SPXW240129P4510</stp>
        <tr r="O62" s="7"/>
      </tp>
      <tp>
        <v>432.7</v>
        <stp/>
        <stp>ASK</stp>
        <stp>.SPXW240129C4505</stp>
        <tr r="I61" s="7"/>
      </tp>
      <tp>
        <v>1437.7</v>
        <stp/>
        <stp>ASK</stp>
        <stp>.SPXW240129C3500</stp>
        <tr r="I22" s="7"/>
      </tp>
      <tp>
        <v>437.7</v>
        <stp/>
        <stp>ASK</stp>
        <stp>.SPXW240129C4500</stp>
        <tr r="I60" s="7"/>
      </tp>
      <tp>
        <v>0.05</v>
        <stp/>
        <stp>ASK</stp>
        <stp>.SPXW240129C5500</stp>
        <tr r="I183" s="7"/>
      </tp>
      <tp>
        <v>0.05</v>
        <stp/>
        <stp>ASK</stp>
        <stp>.SPXW240129P4505</stp>
        <tr r="O61" s="7"/>
      </tp>
      <tp>
        <v>0.05</v>
        <stp/>
        <stp>ASK</stp>
        <stp>.SPXW240129P3500</stp>
        <tr r="O22" s="7"/>
      </tp>
      <tp>
        <v>0.05</v>
        <stp/>
        <stp>ASK</stp>
        <stp>.SPXW240129P4500</stp>
        <tr r="O60" s="7"/>
      </tp>
      <tp>
        <v>580.70000000000005</v>
        <stp/>
        <stp>ASK</stp>
        <stp>.SPXW240129P5500</stp>
        <tr r="O183" s="7"/>
      </tp>
      <tp>
        <v>447.7</v>
        <stp/>
        <stp>ASK</stp>
        <stp>.SPXW240129C4490</stp>
        <tr r="I59" s="7"/>
      </tp>
      <tp>
        <v>0.05</v>
        <stp/>
        <stp>ASK</stp>
        <stp>.SPXW240129P4490</stp>
        <tr r="O59" s="7"/>
      </tp>
      <tp>
        <v>457.7</v>
        <stp/>
        <stp>ASK</stp>
        <stp>.SPXW240129C4480</stp>
        <tr r="I58" s="7"/>
      </tp>
      <tp>
        <v>0.05</v>
        <stp/>
        <stp>ASK</stp>
        <stp>.SPXW240129P4480</stp>
        <tr r="O58" s="7"/>
      </tp>
      <tp>
        <v>462.7</v>
        <stp/>
        <stp>ASK</stp>
        <stp>.SPXW240129C4475</stp>
        <tr r="I57" s="7"/>
      </tp>
      <tp>
        <v>467.7</v>
        <stp/>
        <stp>ASK</stp>
        <stp>.SPXW240129C4470</stp>
        <tr r="I56" s="7"/>
      </tp>
      <tp>
        <v>0.05</v>
        <stp/>
        <stp>ASK</stp>
        <stp>.SPXW240129P4475</stp>
        <tr r="O57" s="7"/>
      </tp>
      <tp>
        <v>0.05</v>
        <stp/>
        <stp>ASK</stp>
        <stp>.SPXW240129P4470</stp>
        <tr r="O56" s="7"/>
      </tp>
      <tp>
        <v>477.7</v>
        <stp/>
        <stp>ASK</stp>
        <stp>.SPXW240129C4460</stp>
        <tr r="I55" s="7"/>
      </tp>
      <tp>
        <v>0.05</v>
        <stp/>
        <stp>ASK</stp>
        <stp>.SPXW240129P4460</stp>
        <tr r="O55" s="7"/>
      </tp>
      <tp>
        <v>487.7</v>
        <stp/>
        <stp>ASK</stp>
        <stp>.SPXW240129C4450</stp>
        <tr r="I54" s="7"/>
      </tp>
      <tp>
        <v>0.05</v>
        <stp/>
        <stp>ASK</stp>
        <stp>.SPXW240129P4450</stp>
        <tr r="O54" s="7"/>
      </tp>
      <tp>
        <v>497.7</v>
        <stp/>
        <stp>ASK</stp>
        <stp>.SPXW240129C4440</stp>
        <tr r="I53" s="7"/>
      </tp>
      <tp>
        <v>0.05</v>
        <stp/>
        <stp>ASK</stp>
        <stp>.SPXW240129P4440</stp>
        <tr r="O53" s="7"/>
      </tp>
      <tp>
        <v>507.7</v>
        <stp/>
        <stp>ASK</stp>
        <stp>.SPXW240129C4430</stp>
        <tr r="I52" s="7"/>
      </tp>
      <tp>
        <v>0.05</v>
        <stp/>
        <stp>ASK</stp>
        <stp>.SPXW240129P4430</stp>
        <tr r="O52" s="7"/>
      </tp>
      <tp>
        <v>512.70000000000005</v>
        <stp/>
        <stp>ASK</stp>
        <stp>.SPXW240129C4425</stp>
        <tr r="I51" s="7"/>
      </tp>
      <tp>
        <v>517.70000000000005</v>
        <stp/>
        <stp>ASK</stp>
        <stp>.SPXW240129C4420</stp>
        <tr r="I50" s="7"/>
      </tp>
      <tp>
        <v>0.05</v>
        <stp/>
        <stp>ASK</stp>
        <stp>.SPXW240129P4425</stp>
        <tr r="O51" s="7"/>
      </tp>
      <tp>
        <v>0.05</v>
        <stp/>
        <stp>ASK</stp>
        <stp>.SPXW240129P4420</stp>
        <tr r="O50" s="7"/>
      </tp>
      <tp>
        <v>527.70000000000005</v>
        <stp/>
        <stp>ASK</stp>
        <stp>.SPXW240129C4410</stp>
        <tr r="I49" s="7"/>
      </tp>
      <tp>
        <v>0.05</v>
        <stp/>
        <stp>ASK</stp>
        <stp>.SPXW240129P4410</stp>
        <tr r="O49" s="7"/>
      </tp>
      <tp>
        <v>2537.6999999999998</v>
        <stp/>
        <stp>ASK</stp>
        <stp>.SPXW240129C2400</stp>
        <tr r="I16" s="7"/>
      </tp>
      <tp>
        <v>1537.7</v>
        <stp/>
        <stp>ASK</stp>
        <stp>.SPXW240129C3400</stp>
        <tr r="I21" s="7"/>
      </tp>
      <tp>
        <v>3537.7</v>
        <stp/>
        <stp>ASK</stp>
        <stp>.SPXW240129C1400</stp>
        <tr r="I11" s="7"/>
      </tp>
      <tp>
        <v>537.70000000000005</v>
        <stp/>
        <stp>ASK</stp>
        <stp>.SPXW240129C4400</stp>
        <tr r="I48" s="7"/>
      </tp>
      <tp>
        <v>0.05</v>
        <stp/>
        <stp>ASK</stp>
        <stp>.SPXW240129C5400</stp>
        <tr r="I182" s="7"/>
      </tp>
      <tp>
        <v>0.05</v>
        <stp/>
        <stp>ASK</stp>
        <stp>.SPXW240129P2400</stp>
        <tr r="O16" s="7"/>
      </tp>
      <tp>
        <v>0.05</v>
        <stp/>
        <stp>ASK</stp>
        <stp>.SPXW240129P3400</stp>
        <tr r="O21" s="7"/>
      </tp>
      <tp>
        <v>0.05</v>
        <stp/>
        <stp>ASK</stp>
        <stp>.SPXW240129P1400</stp>
        <tr r="O11" s="7"/>
      </tp>
      <tp>
        <v>0.05</v>
        <stp/>
        <stp>ASK</stp>
        <stp>.SPXW240129P4400</stp>
        <tr r="O48" s="7"/>
      </tp>
      <tp>
        <v>480.7</v>
        <stp/>
        <stp>ASK</stp>
        <stp>.SPXW240129P5400</stp>
        <tr r="O182" s="7"/>
      </tp>
      <tp>
        <v>547.70000000000005</v>
        <stp/>
        <stp>ASK</stp>
        <stp>.SPXW240129C4390</stp>
        <tr r="I47" s="7"/>
      </tp>
      <tp>
        <v>0.05</v>
        <stp/>
        <stp>ASK</stp>
        <stp>.SPXW240129P4390</stp>
        <tr r="O47" s="7"/>
      </tp>
      <tp>
        <v>557.70000000000005</v>
        <stp/>
        <stp>ASK</stp>
        <stp>.SPXW240129C4380</stp>
        <tr r="I46" s="7"/>
      </tp>
      <tp>
        <v>0.05</v>
        <stp/>
        <stp>ASK</stp>
        <stp>.SPXW240129P4380</stp>
        <tr r="O46" s="7"/>
      </tp>
      <tp>
        <v>562.70000000000005</v>
        <stp/>
        <stp>ASK</stp>
        <stp>.SPXW240129C4375</stp>
        <tr r="I45" s="7"/>
      </tp>
      <tp>
        <v>567.70000000000005</v>
        <stp/>
        <stp>ASK</stp>
        <stp>.SPXW240129C4370</stp>
        <tr r="I44" s="7"/>
      </tp>
      <tp>
        <v>0.05</v>
        <stp/>
        <stp>ASK</stp>
        <stp>.SPXW240129P4375</stp>
        <tr r="O45" s="7"/>
      </tp>
      <tp>
        <v>0.05</v>
        <stp/>
        <stp>ASK</stp>
        <stp>.SPXW240129P4370</stp>
        <tr r="O44" s="7"/>
      </tp>
      <tp>
        <v>587.70000000000005</v>
        <stp/>
        <stp>ASK</stp>
        <stp>.SPXW240129C4350</stp>
        <tr r="I43" s="7"/>
      </tp>
      <tp>
        <v>0.05</v>
        <stp/>
        <stp>ASK</stp>
        <stp>.SPXW240129P4350</stp>
        <tr r="O43" s="7"/>
      </tp>
      <tp>
        <v>612.70000000000005</v>
        <stp/>
        <stp>ASK</stp>
        <stp>.SPXW240129C4325</stp>
        <tr r="I42" s="7"/>
      </tp>
      <tp>
        <v>0.05</v>
        <stp/>
        <stp>ASK</stp>
        <stp>.SPXW240129P4325</stp>
        <tr r="O42" s="7"/>
      </tp>
      <tp>
        <v>637.70000000000005</v>
        <stp/>
        <stp>ASK</stp>
        <stp>.SPXW240129C4300</stp>
        <tr r="I41" s="7"/>
      </tp>
      <tp>
        <v>0.05</v>
        <stp/>
        <stp>ASK</stp>
        <stp>.SPXW240129C5300</stp>
        <tr r="I181" s="7"/>
      </tp>
      <tp>
        <v>0.05</v>
        <stp/>
        <stp>ASK</stp>
        <stp>.SPXW240129P4300</stp>
        <tr r="O41" s="7"/>
      </tp>
      <tp>
        <v>380.7</v>
        <stp/>
        <stp>ASK</stp>
        <stp>.SPXW240129P5300</stp>
        <tr r="O181" s="7"/>
      </tp>
      <tp>
        <v>0</v>
        <stp/>
        <stp>GAMMA</stp>
        <stp>.SPXW240129P4905</stp>
        <tr r="T141" s="7"/>
      </tp>
      <tp>
        <v>0</v>
        <stp/>
        <stp>GAMMA</stp>
        <stp>.SPXW240129P4900</stp>
        <tr r="T140" s="7"/>
      </tp>
      <tp>
        <v>0</v>
        <stp/>
        <stp>GAMMA</stp>
        <stp>.SPXW240129P3900</stp>
        <tr r="T29" s="7"/>
      </tp>
      <tp>
        <v>0</v>
        <stp/>
        <stp>GAMMA</stp>
        <stp>.SPXW240129C4905</stp>
        <tr r="F141" s="7"/>
      </tp>
      <tp>
        <v>0</v>
        <stp/>
        <stp>GAMMA</stp>
        <stp>.SPXW240129C4900</stp>
        <tr r="F140" s="7"/>
      </tp>
      <tp>
        <v>0</v>
        <stp/>
        <stp>GAMMA</stp>
        <stp>.SPXW240129C3900</stp>
        <tr r="F29" s="7"/>
      </tp>
      <tp>
        <v>0</v>
        <stp/>
        <stp>GAMMA</stp>
        <stp>.SPXW240129P4915</stp>
        <tr r="T143" s="7"/>
      </tp>
      <tp>
        <v>0</v>
        <stp/>
        <stp>GAMMA</stp>
        <stp>.SPXW240129P4910</stp>
        <tr r="T142" s="7"/>
      </tp>
      <tp>
        <v>0</v>
        <stp/>
        <stp>GAMMA</stp>
        <stp>.SPXW240129C4915</stp>
        <tr r="F143" s="7"/>
      </tp>
      <tp>
        <v>0</v>
        <stp/>
        <stp>GAMMA</stp>
        <stp>.SPXW240129C4910</stp>
        <tr r="F142" s="7"/>
      </tp>
      <tp>
        <v>0</v>
        <stp/>
        <stp>GAMMA</stp>
        <stp>.SPXW240129P4925</stp>
        <tr r="T145" s="7"/>
      </tp>
      <tp>
        <v>0</v>
        <stp/>
        <stp>GAMMA</stp>
        <stp>.SPXW240129P4920</stp>
        <tr r="T144" s="7"/>
      </tp>
      <tp>
        <v>0</v>
        <stp/>
        <stp>GAMMA</stp>
        <stp>.SPXW240129C4925</stp>
        <tr r="F145" s="7"/>
      </tp>
      <tp>
        <v>0</v>
        <stp/>
        <stp>GAMMA</stp>
        <stp>.SPXW240129C4920</stp>
        <tr r="F144" s="7"/>
      </tp>
      <tp>
        <v>0</v>
        <stp/>
        <stp>GAMMA</stp>
        <stp>.SPXW240129P4935</stp>
        <tr r="T147" s="7"/>
      </tp>
      <tp>
        <v>0</v>
        <stp/>
        <stp>GAMMA</stp>
        <stp>.SPXW240129P4930</stp>
        <tr r="T146" s="7"/>
      </tp>
      <tp>
        <v>0</v>
        <stp/>
        <stp>GAMMA</stp>
        <stp>.SPXW240129C4935</stp>
        <tr r="F147" s="7"/>
      </tp>
      <tp>
        <v>0</v>
        <stp/>
        <stp>GAMMA</stp>
        <stp>.SPXW240129C4930</stp>
        <tr r="F146" s="7"/>
      </tp>
      <tp>
        <v>0</v>
        <stp/>
        <stp>GAMMA</stp>
        <stp>.SPXW240129P4945</stp>
        <tr r="T149" s="7"/>
      </tp>
      <tp>
        <v>0</v>
        <stp/>
        <stp>GAMMA</stp>
        <stp>.SPXW240129P4940</stp>
        <tr r="T148" s="7"/>
      </tp>
      <tp>
        <v>0</v>
        <stp/>
        <stp>GAMMA</stp>
        <stp>.SPXW240129C4945</stp>
        <tr r="F149" s="7"/>
      </tp>
      <tp>
        <v>0</v>
        <stp/>
        <stp>GAMMA</stp>
        <stp>.SPXW240129C4940</stp>
        <tr r="F148" s="7"/>
      </tp>
      <tp>
        <v>0</v>
        <stp/>
        <stp>GAMMA</stp>
        <stp>.SPXW240129P4955</stp>
        <tr r="T151" s="7"/>
      </tp>
      <tp>
        <v>0</v>
        <stp/>
        <stp>GAMMA</stp>
        <stp>.SPXW240129P4950</stp>
        <tr r="T150" s="7"/>
      </tp>
      <tp>
        <v>0</v>
        <stp/>
        <stp>GAMMA</stp>
        <stp>.SPXW240129P3950</stp>
        <tr r="T30" s="7"/>
      </tp>
      <tp>
        <v>0</v>
        <stp/>
        <stp>GAMMA</stp>
        <stp>.SPXW240129C4955</stp>
        <tr r="F151" s="7"/>
      </tp>
      <tp>
        <v>0</v>
        <stp/>
        <stp>GAMMA</stp>
        <stp>.SPXW240129C4950</stp>
        <tr r="F150" s="7"/>
      </tp>
      <tp>
        <v>0</v>
        <stp/>
        <stp>GAMMA</stp>
        <stp>.SPXW240129C3950</stp>
        <tr r="F30" s="7"/>
      </tp>
      <tp>
        <v>0</v>
        <stp/>
        <stp>GAMMA</stp>
        <stp>.SPXW240129P4965</stp>
        <tr r="T153" s="7"/>
      </tp>
      <tp>
        <v>0</v>
        <stp/>
        <stp>GAMMA</stp>
        <stp>.SPXW240129P4960</stp>
        <tr r="T152" s="7"/>
      </tp>
      <tp>
        <v>0</v>
        <stp/>
        <stp>GAMMA</stp>
        <stp>.SPXW240129C4965</stp>
        <tr r="F153" s="7"/>
      </tp>
      <tp>
        <v>0</v>
        <stp/>
        <stp>GAMMA</stp>
        <stp>.SPXW240129C4960</stp>
        <tr r="F152" s="7"/>
      </tp>
      <tp>
        <v>0</v>
        <stp/>
        <stp>GAMMA</stp>
        <stp>.SPXW240129P4975</stp>
        <tr r="T155" s="7"/>
      </tp>
      <tp>
        <v>0</v>
        <stp/>
        <stp>GAMMA</stp>
        <stp>.SPXW240129P4970</stp>
        <tr r="T154" s="7"/>
      </tp>
      <tp>
        <v>0</v>
        <stp/>
        <stp>GAMMA</stp>
        <stp>.SPXW240129C4975</stp>
        <tr r="F155" s="7"/>
      </tp>
      <tp>
        <v>0</v>
        <stp/>
        <stp>GAMMA</stp>
        <stp>.SPXW240129C4970</stp>
        <tr r="F154" s="7"/>
      </tp>
      <tp>
        <v>0</v>
        <stp/>
        <stp>GAMMA</stp>
        <stp>.SPXW240129P4985</stp>
        <tr r="T157" s="7"/>
      </tp>
      <tp>
        <v>0</v>
        <stp/>
        <stp>GAMMA</stp>
        <stp>.SPXW240129P4980</stp>
        <tr r="T156" s="7"/>
      </tp>
      <tp>
        <v>0</v>
        <stp/>
        <stp>GAMMA</stp>
        <stp>.SPXW240129C4985</stp>
        <tr r="F157" s="7"/>
      </tp>
      <tp>
        <v>0</v>
        <stp/>
        <stp>GAMMA</stp>
        <stp>.SPXW240129C4980</stp>
        <tr r="F156" s="7"/>
      </tp>
      <tp>
        <v>0</v>
        <stp/>
        <stp>GAMMA</stp>
        <stp>.SPXW240129P4995</stp>
        <tr r="T159" s="7"/>
      </tp>
      <tp>
        <v>0</v>
        <stp/>
        <stp>GAMMA</stp>
        <stp>.SPXW240129P4990</stp>
        <tr r="T158" s="7"/>
      </tp>
      <tp>
        <v>0</v>
        <stp/>
        <stp>GAMMA</stp>
        <stp>.SPXW240129C4995</stp>
        <tr r="F159" s="7"/>
      </tp>
      <tp>
        <v>0</v>
        <stp/>
        <stp>GAMMA</stp>
        <stp>.SPXW240129C4990</stp>
        <tr r="F158" s="7"/>
      </tp>
      <tp>
        <v>662.7</v>
        <stp/>
        <stp>ASK</stp>
        <stp>.SPXW240129C4275</stp>
        <tr r="I40" s="7"/>
      </tp>
      <tp>
        <v>0.05</v>
        <stp/>
        <stp>ASK</stp>
        <stp>.SPXW240129P4275</stp>
        <tr r="O40" s="7"/>
      </tp>
      <tp>
        <v>687.7</v>
        <stp/>
        <stp>ASK</stp>
        <stp>.SPXW240129C4250</stp>
        <tr r="I39" s="7"/>
      </tp>
      <tp>
        <v>0.05</v>
        <stp/>
        <stp>ASK</stp>
        <stp>.SPXW240129C5250</stp>
        <tr r="I180" s="7"/>
      </tp>
      <tp>
        <v>0.05</v>
        <stp/>
        <stp>ASK</stp>
        <stp>.SPXW240129P4250</stp>
        <tr r="O39" s="7"/>
      </tp>
      <tp>
        <v>330.7</v>
        <stp/>
        <stp>ASK</stp>
        <stp>.SPXW240129P5250</stp>
        <tr r="O180" s="7"/>
      </tp>
      <tp>
        <v>712.7</v>
        <stp/>
        <stp>ASK</stp>
        <stp>.SPXW240129C4225</stp>
        <tr r="I38" s="7"/>
      </tp>
      <tp>
        <v>0.05</v>
        <stp/>
        <stp>ASK</stp>
        <stp>.SPXW240129C5225</stp>
        <tr r="I179" s="7"/>
      </tp>
      <tp>
        <v>0.05</v>
        <stp/>
        <stp>ASK</stp>
        <stp>.SPXW240129P4225</stp>
        <tr r="O38" s="7"/>
      </tp>
      <tp>
        <v>305.7</v>
        <stp/>
        <stp>ASK</stp>
        <stp>.SPXW240129P5225</stp>
        <tr r="O179" s="7"/>
      </tp>
      <tp>
        <v>2737.7</v>
        <stp/>
        <stp>ASK</stp>
        <stp>.SPXW240129C2200</stp>
        <tr r="I15" s="7"/>
      </tp>
      <tp>
        <v>1737.7</v>
        <stp/>
        <stp>ASK</stp>
        <stp>.SPXW240129C3200</stp>
        <tr r="I20" s="7"/>
      </tp>
      <tp>
        <v>3737.7</v>
        <stp/>
        <stp>ASK</stp>
        <stp>.SPXW240129C1200</stp>
        <tr r="I10" s="7"/>
      </tp>
      <tp>
        <v>0.05</v>
        <stp/>
        <stp>ASK</stp>
        <stp>.SPXW240129C6200</stp>
        <tr r="I187" s="7"/>
      </tp>
      <tp>
        <v>737.7</v>
        <stp/>
        <stp>ASK</stp>
        <stp>.SPXW240129C4200</stp>
        <tr r="I37" s="7"/>
      </tp>
      <tp>
        <v>0.05</v>
        <stp/>
        <stp>ASK</stp>
        <stp>.SPXW240129C5200</stp>
        <tr r="I178" s="7"/>
      </tp>
      <tp>
        <v>0.05</v>
        <stp/>
        <stp>ASK</stp>
        <stp>.SPXW240129P2200</stp>
        <tr r="O15" s="7"/>
      </tp>
      <tp>
        <v>0.05</v>
        <stp/>
        <stp>ASK</stp>
        <stp>.SPXW240129P3200</stp>
        <tr r="O20" s="7"/>
      </tp>
      <tp>
        <v>0.05</v>
        <stp/>
        <stp>ASK</stp>
        <stp>.SPXW240129P1200</stp>
        <tr r="O10" s="7"/>
      </tp>
      <tp>
        <v>1280.7</v>
        <stp/>
        <stp>ASK</stp>
        <stp>.SPXW240129P6200</stp>
        <tr r="O187" s="7"/>
      </tp>
      <tp>
        <v>0.05</v>
        <stp/>
        <stp>ASK</stp>
        <stp>.SPXW240129P4200</stp>
        <tr r="O37" s="7"/>
      </tp>
      <tp>
        <v>280.7</v>
        <stp/>
        <stp>ASK</stp>
        <stp>.SPXW240129P5200</stp>
        <tr r="O178" s="7"/>
      </tp>
      <tp>
        <v>0</v>
        <stp/>
        <stp>GAMMA</stp>
        <stp>.SPXW240129P4805</stp>
        <tr r="T121" s="7"/>
      </tp>
      <tp>
        <v>0</v>
        <stp/>
        <stp>GAMMA</stp>
        <stp>.SPXW240129P4800</stp>
        <tr r="T120" s="7"/>
      </tp>
      <tp>
        <v>0</v>
        <stp/>
        <stp>GAMMA</stp>
        <stp>.SPXW240129P5800</stp>
        <tr r="T185" s="7"/>
      </tp>
      <tp>
        <v>0</v>
        <stp/>
        <stp>GAMMA</stp>
        <stp>.SPXW240129P1800</stp>
        <tr r="T13" s="7"/>
      </tp>
      <tp>
        <v>0</v>
        <stp/>
        <stp>GAMMA</stp>
        <stp>.SPXW240129P2800</stp>
        <tr r="T18" s="7"/>
      </tp>
      <tp>
        <v>0</v>
        <stp/>
        <stp>GAMMA</stp>
        <stp>.SPXW240129P3800</stp>
        <tr r="T27" s="7"/>
      </tp>
      <tp>
        <v>0</v>
        <stp/>
        <stp>GAMMA</stp>
        <stp>.SPXW240129C4805</stp>
        <tr r="F121" s="7"/>
      </tp>
      <tp>
        <v>0</v>
        <stp/>
        <stp>GAMMA</stp>
        <stp>.SPXW240129C4800</stp>
        <tr r="F120" s="7"/>
      </tp>
      <tp>
        <v>0</v>
        <stp/>
        <stp>GAMMA</stp>
        <stp>.SPXW240129C5800</stp>
        <tr r="F185" s="7"/>
      </tp>
      <tp>
        <v>0</v>
        <stp/>
        <stp>GAMMA</stp>
        <stp>.SPXW240129C1800</stp>
        <tr r="F13" s="7"/>
      </tp>
      <tp>
        <v>0</v>
        <stp/>
        <stp>GAMMA</stp>
        <stp>.SPXW240129C2800</stp>
        <tr r="F18" s="7"/>
      </tp>
      <tp>
        <v>0</v>
        <stp/>
        <stp>GAMMA</stp>
        <stp>.SPXW240129C3800</stp>
        <tr r="F27" s="7"/>
      </tp>
      <tp>
        <v>0</v>
        <stp/>
        <stp>GAMMA</stp>
        <stp>.SPXW240129P4815</stp>
        <tr r="T123" s="7"/>
      </tp>
      <tp>
        <v>0</v>
        <stp/>
        <stp>GAMMA</stp>
        <stp>.SPXW240129P4810</stp>
        <tr r="T122" s="7"/>
      </tp>
      <tp>
        <v>0</v>
        <stp/>
        <stp>GAMMA</stp>
        <stp>.SPXW240129C4815</stp>
        <tr r="F123" s="7"/>
      </tp>
      <tp>
        <v>0</v>
        <stp/>
        <stp>GAMMA</stp>
        <stp>.SPXW240129C4810</stp>
        <tr r="F122" s="7"/>
      </tp>
      <tp>
        <v>0</v>
        <stp/>
        <stp>GAMMA</stp>
        <stp>.SPXW240129P4825</stp>
        <tr r="T125" s="7"/>
      </tp>
      <tp>
        <v>0</v>
        <stp/>
        <stp>GAMMA</stp>
        <stp>.SPXW240129P4820</stp>
        <tr r="T124" s="7"/>
      </tp>
      <tp>
        <v>0</v>
        <stp/>
        <stp>GAMMA</stp>
        <stp>.SPXW240129C4825</stp>
        <tr r="F125" s="7"/>
      </tp>
      <tp>
        <v>0</v>
        <stp/>
        <stp>GAMMA</stp>
        <stp>.SPXW240129C4820</stp>
        <tr r="F124" s="7"/>
      </tp>
      <tp>
        <v>0</v>
        <stp/>
        <stp>GAMMA</stp>
        <stp>.SPXW240129P4835</stp>
        <tr r="T127" s="7"/>
      </tp>
      <tp>
        <v>0</v>
        <stp/>
        <stp>GAMMA</stp>
        <stp>.SPXW240129P4830</stp>
        <tr r="T126" s="7"/>
      </tp>
      <tp>
        <v>0</v>
        <stp/>
        <stp>GAMMA</stp>
        <stp>.SPXW240129C4835</stp>
        <tr r="F127" s="7"/>
      </tp>
      <tp>
        <v>0</v>
        <stp/>
        <stp>GAMMA</stp>
        <stp>.SPXW240129C4830</stp>
        <tr r="F126" s="7"/>
      </tp>
      <tp>
        <v>0</v>
        <stp/>
        <stp>GAMMA</stp>
        <stp>.SPXW240129P4845</stp>
        <tr r="T129" s="7"/>
      </tp>
      <tp>
        <v>0</v>
        <stp/>
        <stp>GAMMA</stp>
        <stp>.SPXW240129P4840</stp>
        <tr r="T128" s="7"/>
      </tp>
      <tp>
        <v>0</v>
        <stp/>
        <stp>GAMMA</stp>
        <stp>.SPXW240129C4845</stp>
        <tr r="F129" s="7"/>
      </tp>
      <tp>
        <v>0</v>
        <stp/>
        <stp>GAMMA</stp>
        <stp>.SPXW240129C4840</stp>
        <tr r="F128" s="7"/>
      </tp>
      <tp>
        <v>0</v>
        <stp/>
        <stp>GAMMA</stp>
        <stp>.SPXW240129P4855</stp>
        <tr r="T131" s="7"/>
      </tp>
      <tp>
        <v>0</v>
        <stp/>
        <stp>GAMMA</stp>
        <stp>.SPXW240129P4850</stp>
        <tr r="T130" s="7"/>
      </tp>
      <tp>
        <v>0</v>
        <stp/>
        <stp>GAMMA</stp>
        <stp>.SPXW240129P3850</stp>
        <tr r="T28" s="7"/>
      </tp>
      <tp>
        <v>0</v>
        <stp/>
        <stp>GAMMA</stp>
        <stp>.SPXW240129C4855</stp>
        <tr r="F131" s="7"/>
      </tp>
      <tp>
        <v>0</v>
        <stp/>
        <stp>GAMMA</stp>
        <stp>.SPXW240129C4850</stp>
        <tr r="F130" s="7"/>
      </tp>
      <tp>
        <v>0</v>
        <stp/>
        <stp>GAMMA</stp>
        <stp>.SPXW240129C3850</stp>
        <tr r="F28" s="7"/>
      </tp>
      <tp>
        <v>0</v>
        <stp/>
        <stp>GAMMA</stp>
        <stp>.SPXW240129P4865</stp>
        <tr r="T133" s="7"/>
      </tp>
      <tp>
        <v>0</v>
        <stp/>
        <stp>GAMMA</stp>
        <stp>.SPXW240129P4860</stp>
        <tr r="T132" s="7"/>
      </tp>
      <tp>
        <v>0</v>
        <stp/>
        <stp>GAMMA</stp>
        <stp>.SPXW240129C4865</stp>
        <tr r="F133" s="7"/>
      </tp>
      <tp>
        <v>0</v>
        <stp/>
        <stp>GAMMA</stp>
        <stp>.SPXW240129C4860</stp>
        <tr r="F132" s="7"/>
      </tp>
      <tp>
        <v>0</v>
        <stp/>
        <stp>GAMMA</stp>
        <stp>.SPXW240129P4875</stp>
        <tr r="T135" s="7"/>
      </tp>
      <tp>
        <v>0</v>
        <stp/>
        <stp>GAMMA</stp>
        <stp>.SPXW240129P4870</stp>
        <tr r="T134" s="7"/>
      </tp>
      <tp>
        <v>0</v>
        <stp/>
        <stp>GAMMA</stp>
        <stp>.SPXW240129C4875</stp>
        <tr r="F135" s="7"/>
      </tp>
      <tp>
        <v>0</v>
        <stp/>
        <stp>GAMMA</stp>
        <stp>.SPXW240129C4870</stp>
        <tr r="F134" s="7"/>
      </tp>
      <tp>
        <v>0</v>
        <stp/>
        <stp>GAMMA</stp>
        <stp>.SPXW240129P4885</stp>
        <tr r="T137" s="7"/>
      </tp>
      <tp>
        <v>0</v>
        <stp/>
        <stp>GAMMA</stp>
        <stp>.SPXW240129P4880</stp>
        <tr r="T136" s="7"/>
      </tp>
      <tp>
        <v>0</v>
        <stp/>
        <stp>GAMMA</stp>
        <stp>.SPXW240129C4885</stp>
        <tr r="F137" s="7"/>
      </tp>
      <tp>
        <v>0</v>
        <stp/>
        <stp>GAMMA</stp>
        <stp>.SPXW240129C4880</stp>
        <tr r="F136" s="7"/>
      </tp>
      <tp>
        <v>0</v>
        <stp/>
        <stp>GAMMA</stp>
        <stp>.SPXW240129P4895</stp>
        <tr r="T139" s="7"/>
      </tp>
      <tp>
        <v>0</v>
        <stp/>
        <stp>GAMMA</stp>
        <stp>.SPXW240129P4890</stp>
        <tr r="T138" s="7"/>
      </tp>
      <tp>
        <v>0</v>
        <stp/>
        <stp>GAMMA</stp>
        <stp>.SPXW240129C4895</stp>
        <tr r="F139" s="7"/>
      </tp>
      <tp>
        <v>0</v>
        <stp/>
        <stp>GAMMA</stp>
        <stp>.SPXW240129C4890</stp>
        <tr r="F138" s="7"/>
      </tp>
      <tp>
        <v>762.7</v>
        <stp/>
        <stp>ASK</stp>
        <stp>.SPXW240129C4175</stp>
        <tr r="I36" s="7"/>
      </tp>
      <tp>
        <v>0.05</v>
        <stp/>
        <stp>ASK</stp>
        <stp>.SPXW240129C5175</stp>
        <tr r="I177" s="7"/>
      </tp>
      <tp>
        <v>0.05</v>
        <stp/>
        <stp>ASK</stp>
        <stp>.SPXW240129P4175</stp>
        <tr r="O36" s="7"/>
      </tp>
      <tp>
        <v>255.7</v>
        <stp/>
        <stp>ASK</stp>
        <stp>.SPXW240129P5175</stp>
        <tr r="O177" s="7"/>
      </tp>
      <tp>
        <v>787.7</v>
        <stp/>
        <stp>ASK</stp>
        <stp>.SPXW240129C4150</stp>
        <tr r="I35" s="7"/>
      </tp>
      <tp>
        <v>0.05</v>
        <stp/>
        <stp>ASK</stp>
        <stp>.SPXW240129C5150</stp>
        <tr r="I176" s="7"/>
      </tp>
      <tp>
        <v>0.05</v>
        <stp/>
        <stp>ASK</stp>
        <stp>.SPXW240129P4150</stp>
        <tr r="O35" s="7"/>
      </tp>
      <tp>
        <v>230.7</v>
        <stp/>
        <stp>ASK</stp>
        <stp>.SPXW240129P5150</stp>
        <tr r="O176" s="7"/>
      </tp>
      <tp>
        <v>812.7</v>
        <stp/>
        <stp>ASK</stp>
        <stp>.SPXW240129C4125</stp>
        <tr r="I34" s="7"/>
      </tp>
      <tp>
        <v>0.05</v>
        <stp/>
        <stp>ASK</stp>
        <stp>.SPXW240129C5125</stp>
        <tr r="I175" s="7"/>
      </tp>
      <tp>
        <v>0.05</v>
        <stp/>
        <stp>ASK</stp>
        <stp>.SPXW240129P4125</stp>
        <tr r="O34" s="7"/>
      </tp>
      <tp>
        <v>202.7</v>
        <stp/>
        <stp>ASK</stp>
        <stp>.SPXW240129P5125</stp>
        <tr r="O175" s="7"/>
      </tp>
      <tp>
        <v>837.7</v>
        <stp/>
        <stp>ASK</stp>
        <stp>.SPXW240129C4100</stp>
        <tr r="I33" s="7"/>
      </tp>
      <tp>
        <v>0.05</v>
        <stp/>
        <stp>ASK</stp>
        <stp>.SPXW240129C5100</stp>
        <tr r="I174" s="7"/>
      </tp>
      <tp>
        <v>0.05</v>
        <stp/>
        <stp>ASK</stp>
        <stp>.SPXW240129P4100</stp>
        <tr r="O33" s="7"/>
      </tp>
      <tp>
        <v>177.7</v>
        <stp/>
        <stp>ASK</stp>
        <stp>.SPXW240129P5100</stp>
        <tr r="O174" s="7"/>
      </tp>
      <tp>
        <v>0.05</v>
        <stp/>
        <stp>ASK</stp>
        <stp>.SPXW240129C5080</stp>
        <tr r="I173" s="7"/>
      </tp>
      <tp>
        <v>157.69999999999999</v>
        <stp/>
        <stp>ASK</stp>
        <stp>.SPXW240129P5080</stp>
        <tr r="O173" s="7"/>
      </tp>
      <tp>
        <v>0.05</v>
        <stp/>
        <stp>ASK</stp>
        <stp>.SPXW240129C5075</stp>
        <tr r="I172" s="7"/>
      </tp>
      <tp>
        <v>0.05</v>
        <stp/>
        <stp>ASK</stp>
        <stp>.SPXW240129C5070</stp>
        <tr r="I171" s="7"/>
      </tp>
      <tp>
        <v>152.69999999999999</v>
        <stp/>
        <stp>ASK</stp>
        <stp>.SPXW240129P5075</stp>
        <tr r="O172" s="7"/>
      </tp>
      <tp>
        <v>147.69999999999999</v>
        <stp/>
        <stp>ASK</stp>
        <stp>.SPXW240129P5070</stp>
        <tr r="O171" s="7"/>
      </tp>
      <tp>
        <v>0.05</v>
        <stp/>
        <stp>ASK</stp>
        <stp>.SPXW240129C5060</stp>
        <tr r="I170" s="7"/>
      </tp>
      <tp>
        <v>137.69999999999999</v>
        <stp/>
        <stp>ASK</stp>
        <stp>.SPXW240129P5060</stp>
        <tr r="O170" s="7"/>
      </tp>
      <tp>
        <v>887.7</v>
        <stp/>
        <stp>ASK</stp>
        <stp>.SPXW240129C4050</stp>
        <tr r="I32" s="7"/>
      </tp>
      <tp>
        <v>0.05</v>
        <stp/>
        <stp>ASK</stp>
        <stp>.SPXW240129C5050</stp>
        <tr r="I169" s="7"/>
      </tp>
      <tp>
        <v>0.05</v>
        <stp/>
        <stp>ASK</stp>
        <stp>.SPXW240129P4050</stp>
        <tr r="O32" s="7"/>
      </tp>
      <tp>
        <v>127.7</v>
        <stp/>
        <stp>ASK</stp>
        <stp>.SPXW240129P5050</stp>
        <tr r="O169" s="7"/>
      </tp>
      <tp>
        <v>0.05</v>
        <stp/>
        <stp>ASK</stp>
        <stp>.SPXW240129C5040</stp>
        <tr r="I168" s="7"/>
      </tp>
      <tp>
        <v>113.8</v>
        <stp/>
        <stp>ASK</stp>
        <stp>.SPXW240129P5040</stp>
        <tr r="O168" s="7"/>
      </tp>
      <tp>
        <v>0.05</v>
        <stp/>
        <stp>ASK</stp>
        <stp>.SPXW240129C5035</stp>
        <tr r="I167" s="7"/>
      </tp>
      <tp>
        <v>0.05</v>
        <stp/>
        <stp>ASK</stp>
        <stp>.SPXW240129C5030</stp>
        <tr r="I166" s="7"/>
      </tp>
      <tp>
        <v>109.9</v>
        <stp/>
        <stp>ASK</stp>
        <stp>.SPXW240129P5035</stp>
        <tr r="O167" s="7"/>
      </tp>
      <tp>
        <v>104.9</v>
        <stp/>
        <stp>ASK</stp>
        <stp>.SPXW240129P5030</stp>
        <tr r="O166" s="7"/>
      </tp>
      <tp>
        <v>0.05</v>
        <stp/>
        <stp>ASK</stp>
        <stp>.SPXW240129C5025</stp>
        <tr r="I165" s="7"/>
      </tp>
      <tp>
        <v>0.05</v>
        <stp/>
        <stp>ASK</stp>
        <stp>.SPXW240129C5020</stp>
        <tr r="I164" s="7"/>
      </tp>
      <tp>
        <v>99.9</v>
        <stp/>
        <stp>ASK</stp>
        <stp>.SPXW240129P5025</stp>
        <tr r="O165" s="7"/>
      </tp>
      <tp>
        <v>94.9</v>
        <stp/>
        <stp>ASK</stp>
        <stp>.SPXW240129P5020</stp>
        <tr r="O164" s="7"/>
      </tp>
      <tp>
        <v>0.05</v>
        <stp/>
        <stp>ASK</stp>
        <stp>.SPXW240129C5015</stp>
        <tr r="I163" s="7"/>
      </tp>
      <tp>
        <v>0.05</v>
        <stp/>
        <stp>ASK</stp>
        <stp>.SPXW240129C5010</stp>
        <tr r="I162" s="7"/>
      </tp>
      <tp>
        <v>89.9</v>
        <stp/>
        <stp>ASK</stp>
        <stp>.SPXW240129P5015</stp>
        <tr r="O163" s="7"/>
      </tp>
      <tp>
        <v>84.9</v>
        <stp/>
        <stp>ASK</stp>
        <stp>.SPXW240129P5010</stp>
        <tr r="O162" s="7"/>
      </tp>
      <tp>
        <v>0.05</v>
        <stp/>
        <stp>ASK</stp>
        <stp>.SPXW240129C5005</stp>
        <tr r="I161" s="7"/>
      </tp>
      <tp>
        <v>2937.7</v>
        <stp/>
        <stp>ASK</stp>
        <stp>.SPXW240129C2000</stp>
        <tr r="I14" s="7"/>
      </tp>
      <tp>
        <v>1937.3</v>
        <stp/>
        <stp>ASK</stp>
        <stp>.SPXW240129C3000</stp>
        <tr r="I19" s="7"/>
      </tp>
      <tp>
        <v>0.05</v>
        <stp/>
        <stp>ASK</stp>
        <stp>.SPXW240129C6000</stp>
        <tr r="I186" s="7"/>
      </tp>
      <tp>
        <v>937.7</v>
        <stp/>
        <stp>ASK</stp>
        <stp>.SPXW240129C4000</stp>
        <tr r="I31" s="7"/>
      </tp>
      <tp>
        <v>0.05</v>
        <stp/>
        <stp>ASK</stp>
        <stp>.SPXW240129C5000</stp>
        <tr r="I160" s="7"/>
      </tp>
      <tp>
        <v>79.900000000000006</v>
        <stp/>
        <stp>ASK</stp>
        <stp>.SPXW240129P5005</stp>
        <tr r="O161" s="7"/>
      </tp>
      <tp>
        <v>0.05</v>
        <stp/>
        <stp>ASK</stp>
        <stp>.SPXW240129P2000</stp>
        <tr r="O14" s="7"/>
      </tp>
      <tp>
        <v>0.05</v>
        <stp/>
        <stp>ASK</stp>
        <stp>.SPXW240129P3000</stp>
        <tr r="O19" s="7"/>
      </tp>
      <tp>
        <v>1080.7</v>
        <stp/>
        <stp>ASK</stp>
        <stp>.SPXW240129P6000</stp>
        <tr r="O186" s="7"/>
      </tp>
      <tp>
        <v>0.05</v>
        <stp/>
        <stp>ASK</stp>
        <stp>.SPXW240129P4000</stp>
        <tr r="O31" s="7"/>
      </tp>
      <tp>
        <v>74.900000000000006</v>
        <stp/>
        <stp>ASK</stp>
        <stp>.SPXW240129P5000</stp>
        <tr r="O160" s="7"/>
      </tp>
      <tp t="s">
        <v>2024-11-06</v>
        <stp/>
        <stp>EXPIRATION_DAY</stp>
        <stp>.QQQ241106C497</stp>
        <tr r="K3" s="4"/>
      </tp>
      <tp t="s">
        <v>2024-11-06</v>
        <stp/>
        <stp>EXPIRATION_DAY</stp>
        <stp>.QQQ241106C496</stp>
        <tr r="K2" s="4"/>
      </tp>
      <tp t="s">
        <v>2024-11-06</v>
        <stp/>
        <stp>EXPIRATION_DAY</stp>
        <stp>.QQQ241106C499</stp>
        <tr r="K5" s="4"/>
      </tp>
      <tp t="s">
        <v>2024-11-06</v>
        <stp/>
        <stp>EXPIRATION_DAY</stp>
        <stp>.QQQ241106C498</stp>
        <tr r="K4" s="4"/>
      </tp>
      <tp>
        <v>0</v>
        <stp/>
        <stp>GAMMA</stp>
        <stp>.SPXW240129P4505</stp>
        <tr r="T61" s="7"/>
      </tp>
      <tp>
        <v>0</v>
        <stp/>
        <stp>GAMMA</stp>
        <stp>.SPXW240129P4500</stp>
        <tr r="T60" s="7"/>
      </tp>
      <tp>
        <v>0</v>
        <stp/>
        <stp>GAMMA</stp>
        <stp>.SPXW240129P5500</stp>
        <tr r="T183" s="7"/>
      </tp>
      <tp>
        <v>0</v>
        <stp/>
        <stp>GAMMA</stp>
        <stp>.SPXW240129P3500</stp>
        <tr r="T22" s="7"/>
      </tp>
      <tp>
        <v>0</v>
        <stp/>
        <stp>GAMMA</stp>
        <stp>.SPXW240129C4505</stp>
        <tr r="F61" s="7"/>
      </tp>
      <tp>
        <v>0</v>
        <stp/>
        <stp>GAMMA</stp>
        <stp>.SPXW240129C4500</stp>
        <tr r="F60" s="7"/>
      </tp>
      <tp>
        <v>0</v>
        <stp/>
        <stp>GAMMA</stp>
        <stp>.SPXW240129C5500</stp>
        <tr r="F183" s="7"/>
      </tp>
      <tp>
        <v>0</v>
        <stp/>
        <stp>GAMMA</stp>
        <stp>.SPXW240129C3500</stp>
        <tr r="F22" s="7"/>
      </tp>
      <tp>
        <v>0</v>
        <stp/>
        <stp>GAMMA</stp>
        <stp>.SPXW240129P4515</stp>
        <tr r="T63" s="7"/>
      </tp>
      <tp>
        <v>0</v>
        <stp/>
        <stp>GAMMA</stp>
        <stp>.SPXW240129P4510</stp>
        <tr r="T62" s="7"/>
      </tp>
      <tp>
        <v>0</v>
        <stp/>
        <stp>GAMMA</stp>
        <stp>.SPXW240129C4515</stp>
        <tr r="F63" s="7"/>
      </tp>
      <tp>
        <v>0</v>
        <stp/>
        <stp>GAMMA</stp>
        <stp>.SPXW240129C4510</stp>
        <tr r="F62" s="7"/>
      </tp>
      <tp>
        <v>0</v>
        <stp/>
        <stp>GAMMA</stp>
        <stp>.SPXW240129P4525</stp>
        <tr r="T65" s="7"/>
      </tp>
      <tp>
        <v>0</v>
        <stp/>
        <stp>GAMMA</stp>
        <stp>.SPXW240129P4520</stp>
        <tr r="T64" s="7"/>
      </tp>
      <tp>
        <v>0</v>
        <stp/>
        <stp>GAMMA</stp>
        <stp>.SPXW240129C4525</stp>
        <tr r="F65" s="7"/>
      </tp>
      <tp>
        <v>0</v>
        <stp/>
        <stp>GAMMA</stp>
        <stp>.SPXW240129C4520</stp>
        <tr r="F64" s="7"/>
      </tp>
      <tp>
        <v>0</v>
        <stp/>
        <stp>GAMMA</stp>
        <stp>.SPXW240129P4535</stp>
        <tr r="T67" s="7"/>
      </tp>
      <tp>
        <v>0</v>
        <stp/>
        <stp>GAMMA</stp>
        <stp>.SPXW240129P4530</stp>
        <tr r="T66" s="7"/>
      </tp>
      <tp>
        <v>0</v>
        <stp/>
        <stp>GAMMA</stp>
        <stp>.SPXW240129C4535</stp>
        <tr r="F67" s="7"/>
      </tp>
      <tp>
        <v>0</v>
        <stp/>
        <stp>GAMMA</stp>
        <stp>.SPXW240129C4530</stp>
        <tr r="F66" s="7"/>
      </tp>
      <tp>
        <v>0</v>
        <stp/>
        <stp>GAMMA</stp>
        <stp>.SPXW240129P4545</stp>
        <tr r="T69" s="7"/>
      </tp>
      <tp>
        <v>0</v>
        <stp/>
        <stp>GAMMA</stp>
        <stp>.SPXW240129P4540</stp>
        <tr r="T68" s="7"/>
      </tp>
      <tp>
        <v>0</v>
        <stp/>
        <stp>GAMMA</stp>
        <stp>.SPXW240129C4545</stp>
        <tr r="F69" s="7"/>
      </tp>
      <tp>
        <v>0</v>
        <stp/>
        <stp>GAMMA</stp>
        <stp>.SPXW240129C4540</stp>
        <tr r="F68" s="7"/>
      </tp>
      <tp>
        <v>0</v>
        <stp/>
        <stp>GAMMA</stp>
        <stp>.SPXW240129P4555</stp>
        <tr r="T71" s="7"/>
      </tp>
      <tp>
        <v>0</v>
        <stp/>
        <stp>GAMMA</stp>
        <stp>.SPXW240129P4550</stp>
        <tr r="T70" s="7"/>
      </tp>
      <tp>
        <v>0</v>
        <stp/>
        <stp>GAMMA</stp>
        <stp>.SPXW240129C4555</stp>
        <tr r="F71" s="7"/>
      </tp>
      <tp>
        <v>0</v>
        <stp/>
        <stp>GAMMA</stp>
        <stp>.SPXW240129C4550</stp>
        <tr r="F70" s="7"/>
      </tp>
      <tp>
        <v>0</v>
        <stp/>
        <stp>GAMMA</stp>
        <stp>.SPXW240129P4565</stp>
        <tr r="T73" s="7"/>
      </tp>
      <tp>
        <v>0</v>
        <stp/>
        <stp>GAMMA</stp>
        <stp>.SPXW240129P4560</stp>
        <tr r="T72" s="7"/>
      </tp>
      <tp>
        <v>0</v>
        <stp/>
        <stp>GAMMA</stp>
        <stp>.SPXW240129C4565</stp>
        <tr r="F73" s="7"/>
      </tp>
      <tp>
        <v>0</v>
        <stp/>
        <stp>GAMMA</stp>
        <stp>.SPXW240129C4560</stp>
        <tr r="F72" s="7"/>
      </tp>
      <tp>
        <v>0</v>
        <stp/>
        <stp>GAMMA</stp>
        <stp>.SPXW240129P4575</stp>
        <tr r="T75" s="7"/>
      </tp>
      <tp>
        <v>0</v>
        <stp/>
        <stp>GAMMA</stp>
        <stp>.SPXW240129P4570</stp>
        <tr r="T74" s="7"/>
      </tp>
      <tp>
        <v>0</v>
        <stp/>
        <stp>GAMMA</stp>
        <stp>.SPXW240129C4575</stp>
        <tr r="F75" s="7"/>
      </tp>
      <tp>
        <v>0</v>
        <stp/>
        <stp>GAMMA</stp>
        <stp>.SPXW240129C4570</stp>
        <tr r="F74" s="7"/>
      </tp>
      <tp>
        <v>0</v>
        <stp/>
        <stp>GAMMA</stp>
        <stp>.SPXW240129P4585</stp>
        <tr r="T77" s="7"/>
      </tp>
      <tp>
        <v>0</v>
        <stp/>
        <stp>GAMMA</stp>
        <stp>.SPXW240129P4580</stp>
        <tr r="T76" s="7"/>
      </tp>
      <tp>
        <v>0</v>
        <stp/>
        <stp>GAMMA</stp>
        <stp>.SPXW240129C4585</stp>
        <tr r="F77" s="7"/>
      </tp>
      <tp>
        <v>0</v>
        <stp/>
        <stp>GAMMA</stp>
        <stp>.SPXW240129C4580</stp>
        <tr r="F76" s="7"/>
      </tp>
      <tp>
        <v>0</v>
        <stp/>
        <stp>GAMMA</stp>
        <stp>.SPXW240129P4595</stp>
        <tr r="T79" s="7"/>
      </tp>
      <tp>
        <v>0</v>
        <stp/>
        <stp>GAMMA</stp>
        <stp>.SPXW240129P4590</stp>
        <tr r="T78" s="7"/>
      </tp>
      <tp>
        <v>0</v>
        <stp/>
        <stp>GAMMA</stp>
        <stp>.SPXW240129C4595</stp>
        <tr r="F79" s="7"/>
      </tp>
      <tp>
        <v>0</v>
        <stp/>
        <stp>GAMMA</stp>
        <stp>.SPXW240129C4590</stp>
        <tr r="F78" s="7"/>
      </tp>
      <tp t="s">
        <v>2024-11-06</v>
        <stp/>
        <stp>EXPIRATION_DAY</stp>
        <stp>.QQQ241106C501</stp>
        <tr r="K7" s="4"/>
      </tp>
      <tp t="s">
        <v>2024-11-06</v>
        <stp/>
        <stp>EXPIRATION_DAY</stp>
        <stp>.QQQ241106C500</stp>
        <tr r="K6" s="4"/>
      </tp>
      <tp t="s">
        <v>2024-11-06</v>
        <stp/>
        <stp>EXPIRATION_DAY</stp>
        <stp>.QQQ241106C503</stp>
        <tr r="K9" s="4"/>
      </tp>
      <tp t="s">
        <v>2024-11-06</v>
        <stp/>
        <stp>EXPIRATION_DAY</stp>
        <stp>.QQQ241106C502</stp>
        <tr r="K8" s="4"/>
      </tp>
      <tp t="s">
        <v>2024-11-06</v>
        <stp/>
        <stp>EXPIRATION_DAY</stp>
        <stp>.QQQ241106C505</stp>
        <tr r="K11" s="4"/>
      </tp>
      <tp t="s">
        <v>2024-11-06</v>
        <stp/>
        <stp>EXPIRATION_DAY</stp>
        <stp>.QQQ241106C504</stp>
        <tr r="K10" s="4"/>
      </tp>
      <tp t="s">
        <v>2024-11-06</v>
        <stp/>
        <stp>EXPIRATION_DAY</stp>
        <stp>.QQQ241106C507</stp>
        <tr r="K13" s="4"/>
      </tp>
      <tp t="s">
        <v>2024-11-06</v>
        <stp/>
        <stp>EXPIRATION_DAY</stp>
        <stp>.QQQ241106C506</stp>
        <tr r="K12" s="4"/>
      </tp>
      <tp t="s">
        <v>2024-11-06</v>
        <stp/>
        <stp>EXPIRATION_DAY</stp>
        <stp>.QQQ241106C509</stp>
        <tr r="K15" s="4"/>
      </tp>
      <tp t="s">
        <v>2024-11-06</v>
        <stp/>
        <stp>EXPIRATION_DAY</stp>
        <stp>.QQQ241106C508</stp>
        <tr r="K14" s="4"/>
      </tp>
      <tp t="s">
        <v>2024-11-06</v>
        <stp/>
        <stp>EXPIRATION_DAY</stp>
        <stp>.QQQ241106C511</stp>
        <tr r="K17" s="4"/>
      </tp>
      <tp t="s">
        <v>2024-11-06</v>
        <stp/>
        <stp>EXPIRATION_DAY</stp>
        <stp>.QQQ241106C510</stp>
        <tr r="K16" s="4"/>
      </tp>
      <tp t="s">
        <v>2024-11-06</v>
        <stp/>
        <stp>EXPIRATION_DAY</stp>
        <stp>.QQQ241106C512</stp>
        <tr r="K18" s="4"/>
      </tp>
      <tp>
        <v>0</v>
        <stp/>
        <stp>GAMMA</stp>
        <stp>.SPXW240129P4400</stp>
        <tr r="T48" s="7"/>
      </tp>
      <tp>
        <v>0</v>
        <stp/>
        <stp>GAMMA</stp>
        <stp>.SPXW240129P5400</stp>
        <tr r="T182" s="7"/>
      </tp>
      <tp>
        <v>0</v>
        <stp/>
        <stp>GAMMA</stp>
        <stp>.SPXW240129P1400</stp>
        <tr r="T11" s="7"/>
      </tp>
      <tp>
        <v>0</v>
        <stp/>
        <stp>GAMMA</stp>
        <stp>.SPXW240129P2400</stp>
        <tr r="T16" s="7"/>
      </tp>
      <tp>
        <v>0</v>
        <stp/>
        <stp>GAMMA</stp>
        <stp>.SPXW240129P3400</stp>
        <tr r="T21" s="7"/>
      </tp>
      <tp>
        <v>0</v>
        <stp/>
        <stp>GAMMA</stp>
        <stp>.SPXW240129C4400</stp>
        <tr r="F48" s="7"/>
      </tp>
      <tp>
        <v>0</v>
        <stp/>
        <stp>GAMMA</stp>
        <stp>.SPXW240129C5400</stp>
        <tr r="F182" s="7"/>
      </tp>
      <tp>
        <v>0</v>
        <stp/>
        <stp>GAMMA</stp>
        <stp>.SPXW240129C1400</stp>
        <tr r="F11" s="7"/>
      </tp>
      <tp>
        <v>0</v>
        <stp/>
        <stp>GAMMA</stp>
        <stp>.SPXW240129C2400</stp>
        <tr r="F16" s="7"/>
      </tp>
      <tp>
        <v>0</v>
        <stp/>
        <stp>GAMMA</stp>
        <stp>.SPXW240129C3400</stp>
        <tr r="F21" s="7"/>
      </tp>
      <tp>
        <v>0</v>
        <stp/>
        <stp>GAMMA</stp>
        <stp>.SPXW240129P4410</stp>
        <tr r="T49" s="7"/>
      </tp>
      <tp>
        <v>0</v>
        <stp/>
        <stp>GAMMA</stp>
        <stp>.SPXW240129C4410</stp>
        <tr r="F49" s="7"/>
      </tp>
      <tp>
        <v>0</v>
        <stp/>
        <stp>GAMMA</stp>
        <stp>.SPXW240129P4425</stp>
        <tr r="T51" s="7"/>
      </tp>
      <tp>
        <v>0</v>
        <stp/>
        <stp>GAMMA</stp>
        <stp>.SPXW240129P4420</stp>
        <tr r="T50" s="7"/>
      </tp>
      <tp>
        <v>0</v>
        <stp/>
        <stp>GAMMA</stp>
        <stp>.SPXW240129C4425</stp>
        <tr r="F51" s="7"/>
      </tp>
      <tp>
        <v>0</v>
        <stp/>
        <stp>GAMMA</stp>
        <stp>.SPXW240129C4420</stp>
        <tr r="F50" s="7"/>
      </tp>
      <tp>
        <v>0</v>
        <stp/>
        <stp>GAMMA</stp>
        <stp>.SPXW240129P4430</stp>
        <tr r="T52" s="7"/>
      </tp>
      <tp>
        <v>0</v>
        <stp/>
        <stp>GAMMA</stp>
        <stp>.SPXW240129C4430</stp>
        <tr r="F52" s="7"/>
      </tp>
      <tp>
        <v>0</v>
        <stp/>
        <stp>GAMMA</stp>
        <stp>.SPXW240129P4440</stp>
        <tr r="T53" s="7"/>
      </tp>
      <tp>
        <v>0</v>
        <stp/>
        <stp>GAMMA</stp>
        <stp>.SPXW240129C4440</stp>
        <tr r="F53" s="7"/>
      </tp>
      <tp>
        <v>0</v>
        <stp/>
        <stp>GAMMA</stp>
        <stp>.SPXW240129P4450</stp>
        <tr r="T54" s="7"/>
      </tp>
      <tp>
        <v>0</v>
        <stp/>
        <stp>GAMMA</stp>
        <stp>.SPXW240129C4450</stp>
        <tr r="F54" s="7"/>
      </tp>
      <tp>
        <v>0</v>
        <stp/>
        <stp>GAMMA</stp>
        <stp>.SPXW240129P4460</stp>
        <tr r="T55" s="7"/>
      </tp>
      <tp>
        <v>0</v>
        <stp/>
        <stp>GAMMA</stp>
        <stp>.SPXW240129C4460</stp>
        <tr r="F55" s="7"/>
      </tp>
      <tp>
        <v>0</v>
        <stp/>
        <stp>GAMMA</stp>
        <stp>.SPXW240129P4475</stp>
        <tr r="T57" s="7"/>
      </tp>
      <tp>
        <v>0</v>
        <stp/>
        <stp>GAMMA</stp>
        <stp>.SPXW240129P4470</stp>
        <tr r="T56" s="7"/>
      </tp>
      <tp>
        <v>0</v>
        <stp/>
        <stp>GAMMA</stp>
        <stp>.SPXW240129C4475</stp>
        <tr r="F57" s="7"/>
      </tp>
      <tp>
        <v>0</v>
        <stp/>
        <stp>GAMMA</stp>
        <stp>.SPXW240129C4470</stp>
        <tr r="F56" s="7"/>
      </tp>
      <tp>
        <v>0</v>
        <stp/>
        <stp>GAMMA</stp>
        <stp>.SPXW240129P4480</stp>
        <tr r="T58" s="7"/>
      </tp>
      <tp>
        <v>0</v>
        <stp/>
        <stp>GAMMA</stp>
        <stp>.SPXW240129C4480</stp>
        <tr r="F58" s="7"/>
      </tp>
      <tp>
        <v>0</v>
        <stp/>
        <stp>GAMMA</stp>
        <stp>.SPXW240129P4490</stp>
        <tr r="T59" s="7"/>
      </tp>
      <tp>
        <v>0</v>
        <stp/>
        <stp>GAMMA</stp>
        <stp>.SPXW240129C4490</stp>
        <tr r="F59" s="7"/>
      </tp>
      <tp>
        <v>0</v>
        <stp/>
        <stp>GAMMA</stp>
        <stp>.SPXW240129P4705</stp>
        <tr r="T101" s="7"/>
      </tp>
      <tp>
        <v>0</v>
        <stp/>
        <stp>GAMMA</stp>
        <stp>.SPXW240129P4700</stp>
        <tr r="T100" s="7"/>
      </tp>
      <tp>
        <v>0</v>
        <stp/>
        <stp>GAMMA</stp>
        <stp>.SPXW240129P3700</stp>
        <tr r="T25" s="7"/>
      </tp>
      <tp>
        <v>0</v>
        <stp/>
        <stp>GAMMA</stp>
        <stp>.SPXW240129C4705</stp>
        <tr r="F101" s="7"/>
      </tp>
      <tp>
        <v>0</v>
        <stp/>
        <stp>GAMMA</stp>
        <stp>.SPXW240129C4700</stp>
        <tr r="F100" s="7"/>
      </tp>
      <tp>
        <v>0</v>
        <stp/>
        <stp>GAMMA</stp>
        <stp>.SPXW240129C3700</stp>
        <tr r="F25" s="7"/>
      </tp>
      <tp>
        <v>0</v>
        <stp/>
        <stp>GAMMA</stp>
        <stp>.SPXW240129P4715</stp>
        <tr r="T103" s="7"/>
      </tp>
      <tp>
        <v>0</v>
        <stp/>
        <stp>GAMMA</stp>
        <stp>.SPXW240129P4710</stp>
        <tr r="T102" s="7"/>
      </tp>
      <tp>
        <v>0</v>
        <stp/>
        <stp>GAMMA</stp>
        <stp>.SPXW240129C4715</stp>
        <tr r="F103" s="7"/>
      </tp>
      <tp>
        <v>0</v>
        <stp/>
        <stp>GAMMA</stp>
        <stp>.SPXW240129C4710</stp>
        <tr r="F102" s="7"/>
      </tp>
      <tp>
        <v>0</v>
        <stp/>
        <stp>GAMMA</stp>
        <stp>.SPXW240129P4725</stp>
        <tr r="T105" s="7"/>
      </tp>
      <tp>
        <v>0</v>
        <stp/>
        <stp>GAMMA</stp>
        <stp>.SPXW240129P4720</stp>
        <tr r="T104" s="7"/>
      </tp>
      <tp>
        <v>0</v>
        <stp/>
        <stp>GAMMA</stp>
        <stp>.SPXW240129C4725</stp>
        <tr r="F105" s="7"/>
      </tp>
      <tp>
        <v>0</v>
        <stp/>
        <stp>GAMMA</stp>
        <stp>.SPXW240129C4720</stp>
        <tr r="F104" s="7"/>
      </tp>
      <tp>
        <v>0</v>
        <stp/>
        <stp>GAMMA</stp>
        <stp>.SPXW240129P4735</stp>
        <tr r="T107" s="7"/>
      </tp>
      <tp>
        <v>0</v>
        <stp/>
        <stp>GAMMA</stp>
        <stp>.SPXW240129P4730</stp>
        <tr r="T106" s="7"/>
      </tp>
      <tp>
        <v>0</v>
        <stp/>
        <stp>GAMMA</stp>
        <stp>.SPXW240129C4735</stp>
        <tr r="F107" s="7"/>
      </tp>
      <tp>
        <v>0</v>
        <stp/>
        <stp>GAMMA</stp>
        <stp>.SPXW240129C4730</stp>
        <tr r="F106" s="7"/>
      </tp>
      <tp>
        <v>0</v>
        <stp/>
        <stp>GAMMA</stp>
        <stp>.SPXW240129P4745</stp>
        <tr r="T109" s="7"/>
      </tp>
      <tp>
        <v>0</v>
        <stp/>
        <stp>GAMMA</stp>
        <stp>.SPXW240129P4740</stp>
        <tr r="T108" s="7"/>
      </tp>
      <tp>
        <v>0</v>
        <stp/>
        <stp>GAMMA</stp>
        <stp>.SPXW240129C4745</stp>
        <tr r="F109" s="7"/>
      </tp>
      <tp>
        <v>0</v>
        <stp/>
        <stp>GAMMA</stp>
        <stp>.SPXW240129C4740</stp>
        <tr r="F108" s="7"/>
      </tp>
      <tp>
        <v>0</v>
        <stp/>
        <stp>GAMMA</stp>
        <stp>.SPXW240129P4755</stp>
        <tr r="T111" s="7"/>
      </tp>
      <tp>
        <v>0</v>
        <stp/>
        <stp>GAMMA</stp>
        <stp>.SPXW240129P4750</stp>
        <tr r="T110" s="7"/>
      </tp>
      <tp>
        <v>0</v>
        <stp/>
        <stp>GAMMA</stp>
        <stp>.SPXW240129P3750</stp>
        <tr r="T26" s="7"/>
      </tp>
      <tp>
        <v>0</v>
        <stp/>
        <stp>GAMMA</stp>
        <stp>.SPXW240129C4755</stp>
        <tr r="F111" s="7"/>
      </tp>
      <tp>
        <v>0</v>
        <stp/>
        <stp>GAMMA</stp>
        <stp>.SPXW240129C4750</stp>
        <tr r="F110" s="7"/>
      </tp>
      <tp>
        <v>0</v>
        <stp/>
        <stp>GAMMA</stp>
        <stp>.SPXW240129C3750</stp>
        <tr r="F26" s="7"/>
      </tp>
      <tp>
        <v>0</v>
        <stp/>
        <stp>GAMMA</stp>
        <stp>.SPXW240129P4765</stp>
        <tr r="T113" s="7"/>
      </tp>
      <tp>
        <v>0</v>
        <stp/>
        <stp>GAMMA</stp>
        <stp>.SPXW240129P4760</stp>
        <tr r="T112" s="7"/>
      </tp>
      <tp>
        <v>0</v>
        <stp/>
        <stp>GAMMA</stp>
        <stp>.SPXW240129C4765</stp>
        <tr r="F113" s="7"/>
      </tp>
      <tp>
        <v>0</v>
        <stp/>
        <stp>GAMMA</stp>
        <stp>.SPXW240129C4760</stp>
        <tr r="F112" s="7"/>
      </tp>
      <tp>
        <v>0</v>
        <stp/>
        <stp>GAMMA</stp>
        <stp>.SPXW240129P4775</stp>
        <tr r="T115" s="7"/>
      </tp>
      <tp>
        <v>0</v>
        <stp/>
        <stp>GAMMA</stp>
        <stp>.SPXW240129P4770</stp>
        <tr r="T114" s="7"/>
      </tp>
      <tp>
        <v>0</v>
        <stp/>
        <stp>GAMMA</stp>
        <stp>.SPXW240129C4775</stp>
        <tr r="F115" s="7"/>
      </tp>
      <tp>
        <v>0</v>
        <stp/>
        <stp>GAMMA</stp>
        <stp>.SPXW240129C4770</stp>
        <tr r="F114" s="7"/>
      </tp>
      <tp>
        <v>0</v>
        <stp/>
        <stp>GAMMA</stp>
        <stp>.SPXW240129P4785</stp>
        <tr r="T117" s="7"/>
      </tp>
      <tp>
        <v>0</v>
        <stp/>
        <stp>GAMMA</stp>
        <stp>.SPXW240129P4780</stp>
        <tr r="T116" s="7"/>
      </tp>
      <tp>
        <v>0</v>
        <stp/>
        <stp>GAMMA</stp>
        <stp>.SPXW240129C4785</stp>
        <tr r="F117" s="7"/>
      </tp>
      <tp>
        <v>0</v>
        <stp/>
        <stp>GAMMA</stp>
        <stp>.SPXW240129C4780</stp>
        <tr r="F116" s="7"/>
      </tp>
      <tp>
        <v>0</v>
        <stp/>
        <stp>GAMMA</stp>
        <stp>.SPXW240129P4795</stp>
        <tr r="T119" s="7"/>
      </tp>
      <tp>
        <v>0</v>
        <stp/>
        <stp>GAMMA</stp>
        <stp>.SPXW240129P4790</stp>
        <tr r="T118" s="7"/>
      </tp>
      <tp>
        <v>0</v>
        <stp/>
        <stp>GAMMA</stp>
        <stp>.SPXW240129C4795</stp>
        <tr r="F119" s="7"/>
      </tp>
      <tp>
        <v>0</v>
        <stp/>
        <stp>GAMMA</stp>
        <stp>.SPXW240129C4790</stp>
        <tr r="F118" s="7"/>
      </tp>
      <tp>
        <v>0</v>
        <stp/>
        <stp>GAMMA</stp>
        <stp>.SPXW240129P4605</stp>
        <tr r="T81" s="7"/>
      </tp>
      <tp>
        <v>0</v>
        <stp/>
        <stp>GAMMA</stp>
        <stp>.SPXW240129P4600</stp>
        <tr r="T80" s="7"/>
      </tp>
      <tp>
        <v>0</v>
        <stp/>
        <stp>GAMMA</stp>
        <stp>.SPXW240129P5600</stp>
        <tr r="T184" s="7"/>
      </tp>
      <tp>
        <v>0</v>
        <stp/>
        <stp>GAMMA</stp>
        <stp>.SPXW240129P1600</stp>
        <tr r="T12" s="7"/>
      </tp>
      <tp>
        <v>0</v>
        <stp/>
        <stp>GAMMA</stp>
        <stp>.SPXW240129P2600</stp>
        <tr r="T17" s="7"/>
      </tp>
      <tp>
        <v>0</v>
        <stp/>
        <stp>GAMMA</stp>
        <stp>.SPXW240129P3600</stp>
        <tr r="T23" s="7"/>
      </tp>
      <tp>
        <v>0</v>
        <stp/>
        <stp>GAMMA</stp>
        <stp>.SPXW240129C4605</stp>
        <tr r="F81" s="7"/>
      </tp>
      <tp>
        <v>0</v>
        <stp/>
        <stp>GAMMA</stp>
        <stp>.SPXW240129C4600</stp>
        <tr r="F80" s="7"/>
      </tp>
      <tp>
        <v>0</v>
        <stp/>
        <stp>GAMMA</stp>
        <stp>.SPXW240129C5600</stp>
        <tr r="F184" s="7"/>
      </tp>
      <tp>
        <v>0</v>
        <stp/>
        <stp>GAMMA</stp>
        <stp>.SPXW240129C1600</stp>
        <tr r="F12" s="7"/>
      </tp>
      <tp>
        <v>0</v>
        <stp/>
        <stp>GAMMA</stp>
        <stp>.SPXW240129C2600</stp>
        <tr r="F17" s="7"/>
      </tp>
      <tp>
        <v>0</v>
        <stp/>
        <stp>GAMMA</stp>
        <stp>.SPXW240129C3600</stp>
        <tr r="F23" s="7"/>
      </tp>
      <tp>
        <v>0</v>
        <stp/>
        <stp>GAMMA</stp>
        <stp>.SPXW240129P4615</stp>
        <tr r="T83" s="7"/>
      </tp>
      <tp>
        <v>0</v>
        <stp/>
        <stp>GAMMA</stp>
        <stp>.SPXW240129P4610</stp>
        <tr r="T82" s="7"/>
      </tp>
      <tp>
        <v>0</v>
        <stp/>
        <stp>GAMMA</stp>
        <stp>.SPXW240129C4615</stp>
        <tr r="F83" s="7"/>
      </tp>
      <tp>
        <v>0</v>
        <stp/>
        <stp>GAMMA</stp>
        <stp>.SPXW240129C4610</stp>
        <tr r="F82" s="7"/>
      </tp>
      <tp>
        <v>0</v>
        <stp/>
        <stp>GAMMA</stp>
        <stp>.SPXW240129P4625</stp>
        <tr r="T85" s="7"/>
      </tp>
      <tp>
        <v>0</v>
        <stp/>
        <stp>GAMMA</stp>
        <stp>.SPXW240129P4620</stp>
        <tr r="T84" s="7"/>
      </tp>
      <tp>
        <v>0</v>
        <stp/>
        <stp>GAMMA</stp>
        <stp>.SPXW240129C4625</stp>
        <tr r="F85" s="7"/>
      </tp>
      <tp>
        <v>0</v>
        <stp/>
        <stp>GAMMA</stp>
        <stp>.SPXW240129C4620</stp>
        <tr r="F84" s="7"/>
      </tp>
      <tp>
        <v>0</v>
        <stp/>
        <stp>GAMMA</stp>
        <stp>.SPXW240129P4635</stp>
        <tr r="T87" s="7"/>
      </tp>
      <tp>
        <v>0</v>
        <stp/>
        <stp>GAMMA</stp>
        <stp>.SPXW240129P4630</stp>
        <tr r="T86" s="7"/>
      </tp>
      <tp>
        <v>0</v>
        <stp/>
        <stp>GAMMA</stp>
        <stp>.SPXW240129C4635</stp>
        <tr r="F87" s="7"/>
      </tp>
      <tp>
        <v>0</v>
        <stp/>
        <stp>GAMMA</stp>
        <stp>.SPXW240129C4630</stp>
        <tr r="F86" s="7"/>
      </tp>
      <tp>
        <v>0</v>
        <stp/>
        <stp>GAMMA</stp>
        <stp>.SPXW240129P4645</stp>
        <tr r="T89" s="7"/>
      </tp>
      <tp>
        <v>0</v>
        <stp/>
        <stp>GAMMA</stp>
        <stp>.SPXW240129P4640</stp>
        <tr r="T88" s="7"/>
      </tp>
      <tp>
        <v>0</v>
        <stp/>
        <stp>GAMMA</stp>
        <stp>.SPXW240129C4645</stp>
        <tr r="F89" s="7"/>
      </tp>
      <tp>
        <v>0</v>
        <stp/>
        <stp>GAMMA</stp>
        <stp>.SPXW240129C4640</stp>
        <tr r="F88" s="7"/>
      </tp>
      <tp>
        <v>0</v>
        <stp/>
        <stp>GAMMA</stp>
        <stp>.SPXW240129P4655</stp>
        <tr r="T91" s="7"/>
      </tp>
      <tp>
        <v>0</v>
        <stp/>
        <stp>GAMMA</stp>
        <stp>.SPXW240129P4650</stp>
        <tr r="T90" s="7"/>
      </tp>
      <tp>
        <v>0</v>
        <stp/>
        <stp>GAMMA</stp>
        <stp>.SPXW240129P3650</stp>
        <tr r="T24" s="7"/>
      </tp>
      <tp>
        <v>0</v>
        <stp/>
        <stp>GAMMA</stp>
        <stp>.SPXW240129C4655</stp>
        <tr r="F91" s="7"/>
      </tp>
      <tp>
        <v>0</v>
        <stp/>
        <stp>GAMMA</stp>
        <stp>.SPXW240129C4650</stp>
        <tr r="F90" s="7"/>
      </tp>
      <tp>
        <v>0</v>
        <stp/>
        <stp>GAMMA</stp>
        <stp>.SPXW240129C3650</stp>
        <tr r="F24" s="7"/>
      </tp>
      <tp>
        <v>0</v>
        <stp/>
        <stp>GAMMA</stp>
        <stp>.SPXW240129P4665</stp>
        <tr r="T93" s="7"/>
      </tp>
      <tp>
        <v>0</v>
        <stp/>
        <stp>GAMMA</stp>
        <stp>.SPXW240129P4660</stp>
        <tr r="T92" s="7"/>
      </tp>
      <tp>
        <v>0</v>
        <stp/>
        <stp>GAMMA</stp>
        <stp>.SPXW240129C4665</stp>
        <tr r="F93" s="7"/>
      </tp>
      <tp>
        <v>0</v>
        <stp/>
        <stp>GAMMA</stp>
        <stp>.SPXW240129C4660</stp>
        <tr r="F92" s="7"/>
      </tp>
      <tp>
        <v>0</v>
        <stp/>
        <stp>GAMMA</stp>
        <stp>.SPXW240129P4675</stp>
        <tr r="T95" s="7"/>
      </tp>
      <tp>
        <v>0</v>
        <stp/>
        <stp>GAMMA</stp>
        <stp>.SPXW240129P4670</stp>
        <tr r="T94" s="7"/>
      </tp>
      <tp>
        <v>0</v>
        <stp/>
        <stp>GAMMA</stp>
        <stp>.SPXW240129C4675</stp>
        <tr r="F95" s="7"/>
      </tp>
      <tp>
        <v>0</v>
        <stp/>
        <stp>GAMMA</stp>
        <stp>.SPXW240129C4670</stp>
        <tr r="F94" s="7"/>
      </tp>
      <tp>
        <v>0</v>
        <stp/>
        <stp>GAMMA</stp>
        <stp>.SPXW240129P4685</stp>
        <tr r="T97" s="7"/>
      </tp>
      <tp>
        <v>0</v>
        <stp/>
        <stp>GAMMA</stp>
        <stp>.SPXW240129P4680</stp>
        <tr r="T96" s="7"/>
      </tp>
      <tp>
        <v>0</v>
        <stp/>
        <stp>GAMMA</stp>
        <stp>.SPXW240129C4685</stp>
        <tr r="F97" s="7"/>
      </tp>
      <tp>
        <v>0</v>
        <stp/>
        <stp>GAMMA</stp>
        <stp>.SPXW240129C4680</stp>
        <tr r="F96" s="7"/>
      </tp>
      <tp>
        <v>0</v>
        <stp/>
        <stp>GAMMA</stp>
        <stp>.SPXW240129P4695</stp>
        <tr r="T99" s="7"/>
      </tp>
      <tp>
        <v>0</v>
        <stp/>
        <stp>GAMMA</stp>
        <stp>.SPXW240129P4690</stp>
        <tr r="T98" s="7"/>
      </tp>
      <tp>
        <v>0</v>
        <stp/>
        <stp>GAMMA</stp>
        <stp>.SPXW240129C4695</stp>
        <tr r="F99" s="7"/>
      </tp>
      <tp>
        <v>0</v>
        <stp/>
        <stp>GAMMA</stp>
        <stp>.SPXW240129C4690</stp>
        <tr r="F98" s="7"/>
      </tp>
      <tp>
        <v>0</v>
        <stp/>
        <stp>GAMMA</stp>
        <stp>.SPXW240129P4100</stp>
        <tr r="T33" s="7"/>
      </tp>
      <tp>
        <v>0</v>
        <stp/>
        <stp>GAMMA</stp>
        <stp>.SPXW240129P5100</stp>
        <tr r="T174" s="7"/>
      </tp>
      <tp>
        <v>0</v>
        <stp/>
        <stp>GAMMA</stp>
        <stp>.SPXW240129C4100</stp>
        <tr r="F33" s="7"/>
      </tp>
      <tp>
        <v>0</v>
        <stp/>
        <stp>GAMMA</stp>
        <stp>.SPXW240129C5100</stp>
        <tr r="F174" s="7"/>
      </tp>
      <tp>
        <v>0</v>
        <stp/>
        <stp>GAMMA</stp>
        <stp>.SPXW240129P4125</stp>
        <tr r="T34" s="7"/>
      </tp>
      <tp>
        <v>0</v>
        <stp/>
        <stp>GAMMA</stp>
        <stp>.SPXW240129P5125</stp>
        <tr r="T175" s="7"/>
      </tp>
      <tp>
        <v>0</v>
        <stp/>
        <stp>GAMMA</stp>
        <stp>.SPXW240129C4125</stp>
        <tr r="F34" s="7"/>
      </tp>
      <tp>
        <v>0</v>
        <stp/>
        <stp>GAMMA</stp>
        <stp>.SPXW240129C5125</stp>
        <tr r="F175" s="7"/>
      </tp>
      <tp>
        <v>0</v>
        <stp/>
        <stp>GAMMA</stp>
        <stp>.SPXW240129P4150</stp>
        <tr r="T35" s="7"/>
      </tp>
      <tp>
        <v>0</v>
        <stp/>
        <stp>GAMMA</stp>
        <stp>.SPXW240129P5150</stp>
        <tr r="T176" s="7"/>
      </tp>
      <tp>
        <v>0</v>
        <stp/>
        <stp>GAMMA</stp>
        <stp>.SPXW240129C4150</stp>
        <tr r="F35" s="7"/>
      </tp>
      <tp>
        <v>0</v>
        <stp/>
        <stp>GAMMA</stp>
        <stp>.SPXW240129C5150</stp>
        <tr r="F176" s="7"/>
      </tp>
      <tp>
        <v>0</v>
        <stp/>
        <stp>GAMMA</stp>
        <stp>.SPXW240129P4175</stp>
        <tr r="T36" s="7"/>
      </tp>
      <tp>
        <v>0</v>
        <stp/>
        <stp>GAMMA</stp>
        <stp>.SPXW240129P5175</stp>
        <tr r="T177" s="7"/>
      </tp>
      <tp>
        <v>0</v>
        <stp/>
        <stp>GAMMA</stp>
        <stp>.SPXW240129C4175</stp>
        <tr r="F36" s="7"/>
      </tp>
      <tp>
        <v>0</v>
        <stp/>
        <stp>GAMMA</stp>
        <stp>.SPXW240129C5175</stp>
        <tr r="F177" s="7"/>
      </tp>
      <tp>
        <v>0</v>
        <stp/>
        <stp>GAMMA</stp>
        <stp>.SPXW240129P5005</stp>
        <tr r="T161" s="7"/>
      </tp>
      <tp>
        <v>0</v>
        <stp/>
        <stp>GAMMA</stp>
        <stp>.SPXW240129P4000</stp>
        <tr r="T31" s="7"/>
      </tp>
      <tp>
        <v>0</v>
        <stp/>
        <stp>GAMMA</stp>
        <stp>.SPXW240129P5000</stp>
        <tr r="T160" s="7"/>
      </tp>
      <tp>
        <v>0</v>
        <stp/>
        <stp>GAMMA</stp>
        <stp>.SPXW240129P6000</stp>
        <tr r="T186" s="7"/>
      </tp>
      <tp>
        <v>0</v>
        <stp/>
        <stp>GAMMA</stp>
        <stp>.SPXW240129P2000</stp>
        <tr r="T14" s="7"/>
      </tp>
      <tp>
        <v>0</v>
        <stp/>
        <stp>GAMMA</stp>
        <stp>.SPXW240129P3000</stp>
        <tr r="T19" s="7"/>
      </tp>
      <tp>
        <v>0</v>
        <stp/>
        <stp>GAMMA</stp>
        <stp>.SPXW240129C5005</stp>
        <tr r="F161" s="7"/>
      </tp>
      <tp>
        <v>0</v>
        <stp/>
        <stp>GAMMA</stp>
        <stp>.SPXW240129C4000</stp>
        <tr r="F31" s="7"/>
      </tp>
      <tp>
        <v>0</v>
        <stp/>
        <stp>GAMMA</stp>
        <stp>.SPXW240129C5000</stp>
        <tr r="F160" s="7"/>
      </tp>
      <tp>
        <v>0</v>
        <stp/>
        <stp>GAMMA</stp>
        <stp>.SPXW240129C6000</stp>
        <tr r="F186" s="7"/>
      </tp>
      <tp>
        <v>0</v>
        <stp/>
        <stp>GAMMA</stp>
        <stp>.SPXW240129C2000</stp>
        <tr r="F14" s="7"/>
      </tp>
      <tp>
        <v>0</v>
        <stp/>
        <stp>GAMMA</stp>
        <stp>.SPXW240129C3000</stp>
        <tr r="F19" s="7"/>
      </tp>
      <tp>
        <v>0</v>
        <stp/>
        <stp>GAMMA</stp>
        <stp>.SPXW240129P5015</stp>
        <tr r="T163" s="7"/>
      </tp>
      <tp>
        <v>0</v>
        <stp/>
        <stp>GAMMA</stp>
        <stp>.SPXW240129P5010</stp>
        <tr r="T162" s="7"/>
      </tp>
      <tp>
        <v>0</v>
        <stp/>
        <stp>GAMMA</stp>
        <stp>.SPXW240129C5015</stp>
        <tr r="F163" s="7"/>
      </tp>
      <tp>
        <v>0</v>
        <stp/>
        <stp>GAMMA</stp>
        <stp>.SPXW240129C5010</stp>
        <tr r="F162" s="7"/>
      </tp>
      <tp>
        <v>0</v>
        <stp/>
        <stp>GAMMA</stp>
        <stp>.SPXW240129P5025</stp>
        <tr r="T165" s="7"/>
      </tp>
      <tp>
        <v>0</v>
        <stp/>
        <stp>GAMMA</stp>
        <stp>.SPXW240129P5020</stp>
        <tr r="T164" s="7"/>
      </tp>
      <tp>
        <v>0</v>
        <stp/>
        <stp>GAMMA</stp>
        <stp>.SPXW240129C5025</stp>
        <tr r="F165" s="7"/>
      </tp>
      <tp>
        <v>0</v>
        <stp/>
        <stp>GAMMA</stp>
        <stp>.SPXW240129C5020</stp>
        <tr r="F164" s="7"/>
      </tp>
      <tp>
        <v>0</v>
        <stp/>
        <stp>GAMMA</stp>
        <stp>.SPXW240129P5035</stp>
        <tr r="T167" s="7"/>
      </tp>
      <tp>
        <v>0</v>
        <stp/>
        <stp>GAMMA</stp>
        <stp>.SPXW240129P5030</stp>
        <tr r="T166" s="7"/>
      </tp>
      <tp>
        <v>0</v>
        <stp/>
        <stp>GAMMA</stp>
        <stp>.SPXW240129C5035</stp>
        <tr r="F167" s="7"/>
      </tp>
      <tp>
        <v>0</v>
        <stp/>
        <stp>GAMMA</stp>
        <stp>.SPXW240129C5030</stp>
        <tr r="F166" s="7"/>
      </tp>
      <tp>
        <v>0</v>
        <stp/>
        <stp>GAMMA</stp>
        <stp>.SPXW240129P5040</stp>
        <tr r="T168" s="7"/>
      </tp>
      <tp>
        <v>0</v>
        <stp/>
        <stp>GAMMA</stp>
        <stp>.SPXW240129C5040</stp>
        <tr r="F168" s="7"/>
      </tp>
      <tp>
        <v>0</v>
        <stp/>
        <stp>GAMMA</stp>
        <stp>.SPXW240129P4050</stp>
        <tr r="T32" s="7"/>
      </tp>
      <tp>
        <v>0</v>
        <stp/>
        <stp>GAMMA</stp>
        <stp>.SPXW240129P5050</stp>
        <tr r="T169" s="7"/>
      </tp>
      <tp>
        <v>0</v>
        <stp/>
        <stp>GAMMA</stp>
        <stp>.SPXW240129C4050</stp>
        <tr r="F32" s="7"/>
      </tp>
      <tp>
        <v>0</v>
        <stp/>
        <stp>GAMMA</stp>
        <stp>.SPXW240129C5050</stp>
        <tr r="F169" s="7"/>
      </tp>
      <tp>
        <v>0</v>
        <stp/>
        <stp>GAMMA</stp>
        <stp>.SPXW240129P5060</stp>
        <tr r="T170" s="7"/>
      </tp>
      <tp>
        <v>0</v>
        <stp/>
        <stp>GAMMA</stp>
        <stp>.SPXW240129C5060</stp>
        <tr r="F170" s="7"/>
      </tp>
      <tp>
        <v>0</v>
        <stp/>
        <stp>GAMMA</stp>
        <stp>.SPXW240129P5075</stp>
        <tr r="T172" s="7"/>
      </tp>
      <tp>
        <v>0</v>
        <stp/>
        <stp>GAMMA</stp>
        <stp>.SPXW240129P5070</stp>
        <tr r="T171" s="7"/>
      </tp>
      <tp>
        <v>0</v>
        <stp/>
        <stp>GAMMA</stp>
        <stp>.SPXW240129C5075</stp>
        <tr r="F172" s="7"/>
      </tp>
      <tp>
        <v>0</v>
        <stp/>
        <stp>GAMMA</stp>
        <stp>.SPXW240129C5070</stp>
        <tr r="F171" s="7"/>
      </tp>
      <tp>
        <v>0</v>
        <stp/>
        <stp>GAMMA</stp>
        <stp>.SPXW240129P5080</stp>
        <tr r="T173" s="7"/>
      </tp>
      <tp>
        <v>0</v>
        <stp/>
        <stp>GAMMA</stp>
        <stp>.SPXW240129C5080</stp>
        <tr r="F173" s="7"/>
      </tp>
      <tp>
        <v>0.05</v>
        <stp/>
        <stp>ASK</stp>
        <stp>.SPXW240129C4995</stp>
        <tr r="I159" s="7"/>
      </tp>
      <tp>
        <v>0.05</v>
        <stp/>
        <stp>ASK</stp>
        <stp>.SPXW240129C4990</stp>
        <tr r="I158" s="7"/>
      </tp>
      <tp>
        <v>69.900000000000006</v>
        <stp/>
        <stp>ASK</stp>
        <stp>.SPXW240129P4995</stp>
        <tr r="O159" s="7"/>
      </tp>
      <tp>
        <v>64.900000000000006</v>
        <stp/>
        <stp>ASK</stp>
        <stp>.SPXW240129P4990</stp>
        <tr r="O158" s="7"/>
      </tp>
      <tp>
        <v>0.05</v>
        <stp/>
        <stp>ASK</stp>
        <stp>.SPXW240129C4985</stp>
        <tr r="I157" s="7"/>
      </tp>
      <tp>
        <v>0.05</v>
        <stp/>
        <stp>ASK</stp>
        <stp>.SPXW240129C4980</stp>
        <tr r="I156" s="7"/>
      </tp>
      <tp>
        <v>59.9</v>
        <stp/>
        <stp>ASK</stp>
        <stp>.SPXW240129P4985</stp>
        <tr r="O157" s="7"/>
      </tp>
      <tp>
        <v>54.9</v>
        <stp/>
        <stp>ASK</stp>
        <stp>.SPXW240129P4980</stp>
        <tr r="O156" s="7"/>
      </tp>
      <tp>
        <v>0.05</v>
        <stp/>
        <stp>ASK</stp>
        <stp>.SPXW240129C4975</stp>
        <tr r="I155" s="7"/>
      </tp>
      <tp>
        <v>0.05</v>
        <stp/>
        <stp>ASK</stp>
        <stp>.SPXW240129C4970</stp>
        <tr r="I154" s="7"/>
      </tp>
      <tp>
        <v>49.9</v>
        <stp/>
        <stp>ASK</stp>
        <stp>.SPXW240129P4975</stp>
        <tr r="O155" s="7"/>
      </tp>
      <tp>
        <v>44.9</v>
        <stp/>
        <stp>ASK</stp>
        <stp>.SPXW240129P4970</stp>
        <tr r="O154" s="7"/>
      </tp>
      <tp>
        <v>0.05</v>
        <stp/>
        <stp>ASK</stp>
        <stp>.SPXW240129C4965</stp>
        <tr r="I153" s="7"/>
      </tp>
      <tp>
        <v>0.05</v>
        <stp/>
        <stp>ASK</stp>
        <stp>.SPXW240129C4960</stp>
        <tr r="I152" s="7"/>
      </tp>
      <tp>
        <v>39.9</v>
        <stp/>
        <stp>ASK</stp>
        <stp>.SPXW240129P4965</stp>
        <tr r="O153" s="7"/>
      </tp>
      <tp>
        <v>34.9</v>
        <stp/>
        <stp>ASK</stp>
        <stp>.SPXW240129P4960</stp>
        <tr r="O152" s="7"/>
      </tp>
      <tp>
        <v>0.05</v>
        <stp/>
        <stp>ASK</stp>
        <stp>.SPXW240129C4955</stp>
        <tr r="I151" s="7"/>
      </tp>
      <tp>
        <v>987.7</v>
        <stp/>
        <stp>ASK</stp>
        <stp>.SPXW240129C3950</stp>
        <tr r="I30" s="7"/>
      </tp>
      <tp>
        <v>0.05</v>
        <stp/>
        <stp>ASK</stp>
        <stp>.SPXW240129C4950</stp>
        <tr r="I150" s="7"/>
      </tp>
      <tp>
        <v>29.9</v>
        <stp/>
        <stp>ASK</stp>
        <stp>.SPXW240129P4955</stp>
        <tr r="O151" s="7"/>
      </tp>
      <tp>
        <v>0.05</v>
        <stp/>
        <stp>ASK</stp>
        <stp>.SPXW240129P3950</stp>
        <tr r="O30" s="7"/>
      </tp>
      <tp>
        <v>24.9</v>
        <stp/>
        <stp>ASK</stp>
        <stp>.SPXW240129P4950</stp>
        <tr r="O150" s="7"/>
      </tp>
      <tp>
        <v>0.05</v>
        <stp/>
        <stp>ASK</stp>
        <stp>.SPXW240129C4945</stp>
        <tr r="I149" s="7"/>
      </tp>
      <tp>
        <v>0.05</v>
        <stp/>
        <stp>ASK</stp>
        <stp>.SPXW240129C4940</stp>
        <tr r="I148" s="7"/>
      </tp>
      <tp>
        <v>19.899999999999999</v>
        <stp/>
        <stp>ASK</stp>
        <stp>.SPXW240129P4945</stp>
        <tr r="O149" s="7"/>
      </tp>
      <tp>
        <v>16.100000000000001</v>
        <stp/>
        <stp>ASK</stp>
        <stp>.SPXW240129P4940</stp>
        <tr r="O148" s="7"/>
      </tp>
      <tp>
        <v>0.05</v>
        <stp/>
        <stp>ASK</stp>
        <stp>.SPXW240129C4935</stp>
        <tr r="I147" s="7"/>
      </tp>
      <tp>
        <v>0.05</v>
        <stp/>
        <stp>ASK</stp>
        <stp>.SPXW240129C4930</stp>
        <tr r="I146" s="7"/>
      </tp>
      <tp>
        <v>8.5</v>
        <stp/>
        <stp>ASK</stp>
        <stp>.SPXW240129P4935</stp>
        <tr r="O147" s="7"/>
      </tp>
      <tp>
        <v>2.9</v>
        <stp/>
        <stp>ASK</stp>
        <stp>.SPXW240129P4930</stp>
        <tr r="O146" s="7"/>
      </tp>
      <tp>
        <v>3.5</v>
        <stp/>
        <stp>ASK</stp>
        <stp>.SPXW240129C4925</stp>
        <tr r="I145" s="7"/>
      </tp>
      <tp>
        <v>9</v>
        <stp/>
        <stp>ASK</stp>
        <stp>.SPXW240129C4920</stp>
        <tr r="I144" s="7"/>
      </tp>
      <tp>
        <v>0.1</v>
        <stp/>
        <stp>ASK</stp>
        <stp>.SPXW240129P4925</stp>
        <tr r="O145" s="7"/>
      </tp>
      <tp>
        <v>0.05</v>
        <stp/>
        <stp>ASK</stp>
        <stp>.SPXW240129P4920</stp>
        <tr r="O144" s="7"/>
      </tp>
      <tp>
        <v>14</v>
        <stp/>
        <stp>ASK</stp>
        <stp>.SPXW240129C4915</stp>
        <tr r="I143" s="7"/>
      </tp>
      <tp>
        <v>19.600000000000001</v>
        <stp/>
        <stp>ASK</stp>
        <stp>.SPXW240129C4910</stp>
        <tr r="I142" s="7"/>
      </tp>
      <tp>
        <v>0.05</v>
        <stp/>
        <stp>ASK</stp>
        <stp>.SPXW240129P4915</stp>
        <tr r="O143" s="7"/>
      </tp>
      <tp>
        <v>0.05</v>
        <stp/>
        <stp>ASK</stp>
        <stp>.SPXW240129P4910</stp>
        <tr r="O142" s="7"/>
      </tp>
      <tp>
        <v>24.8</v>
        <stp/>
        <stp>ASK</stp>
        <stp>.SPXW240129C4905</stp>
        <tr r="I141" s="7"/>
      </tp>
      <tp>
        <v>1037.7</v>
        <stp/>
        <stp>ASK</stp>
        <stp>.SPXW240129C3900</stp>
        <tr r="I29" s="7"/>
      </tp>
      <tp>
        <v>31.2</v>
        <stp/>
        <stp>ASK</stp>
        <stp>.SPXW240129C4900</stp>
        <tr r="I140" s="7"/>
      </tp>
      <tp>
        <v>0.05</v>
        <stp/>
        <stp>ASK</stp>
        <stp>.SPXW240129P4905</stp>
        <tr r="O141" s="7"/>
      </tp>
      <tp>
        <v>0.05</v>
        <stp/>
        <stp>ASK</stp>
        <stp>.SPXW240129P3900</stp>
        <tr r="O29" s="7"/>
      </tp>
      <tp>
        <v>0.05</v>
        <stp/>
        <stp>ASK</stp>
        <stp>.SPXW240129P4900</stp>
        <tr r="O140" s="7"/>
      </tp>
      <tp>
        <v>0</v>
        <stp/>
        <stp>GAMMA</stp>
        <stp>.SPXW240129P4300</stp>
        <tr r="T41" s="7"/>
      </tp>
      <tp>
        <v>0</v>
        <stp/>
        <stp>GAMMA</stp>
        <stp>.SPXW240129P5300</stp>
        <tr r="T181" s="7"/>
      </tp>
      <tp>
        <v>0</v>
        <stp/>
        <stp>GAMMA</stp>
        <stp>.SPXW240129C4300</stp>
        <tr r="F41" s="7"/>
      </tp>
      <tp>
        <v>0</v>
        <stp/>
        <stp>GAMMA</stp>
        <stp>.SPXW240129C5300</stp>
        <tr r="F181" s="7"/>
      </tp>
      <tp>
        <v>0</v>
        <stp/>
        <stp>GAMMA</stp>
        <stp>.SPXW240129P4325</stp>
        <tr r="T42" s="7"/>
      </tp>
      <tp>
        <v>0</v>
        <stp/>
        <stp>GAMMA</stp>
        <stp>.SPXW240129C4325</stp>
        <tr r="F42" s="7"/>
      </tp>
      <tp>
        <v>0</v>
        <stp/>
        <stp>GAMMA</stp>
        <stp>.SPXW240129P4350</stp>
        <tr r="T43" s="7"/>
      </tp>
      <tp>
        <v>0</v>
        <stp/>
        <stp>GAMMA</stp>
        <stp>.SPXW240129C4350</stp>
        <tr r="F43" s="7"/>
      </tp>
      <tp>
        <v>0</v>
        <stp/>
        <stp>GAMMA</stp>
        <stp>.SPXW240129P4375</stp>
        <tr r="T45" s="7"/>
      </tp>
      <tp>
        <v>0</v>
        <stp/>
        <stp>GAMMA</stp>
        <stp>.SPXW240129P4370</stp>
        <tr r="T44" s="7"/>
      </tp>
      <tp>
        <v>0</v>
        <stp/>
        <stp>GAMMA</stp>
        <stp>.SPXW240129C4375</stp>
        <tr r="F45" s="7"/>
      </tp>
      <tp>
        <v>0</v>
        <stp/>
        <stp>GAMMA</stp>
        <stp>.SPXW240129C4370</stp>
        <tr r="F44" s="7"/>
      </tp>
      <tp>
        <v>0</v>
        <stp/>
        <stp>GAMMA</stp>
        <stp>.SPXW240129P4380</stp>
        <tr r="T46" s="7"/>
      </tp>
      <tp>
        <v>0</v>
        <stp/>
        <stp>GAMMA</stp>
        <stp>.SPXW240129C4380</stp>
        <tr r="F46" s="7"/>
      </tp>
      <tp>
        <v>0</v>
        <stp/>
        <stp>GAMMA</stp>
        <stp>.SPXW240129P4390</stp>
        <tr r="T47" s="7"/>
      </tp>
      <tp>
        <v>0</v>
        <stp/>
        <stp>GAMMA</stp>
        <stp>.SPXW240129C4390</stp>
        <tr r="F47" s="7"/>
      </tp>
      <tp>
        <v>34</v>
        <stp/>
        <stp>ASK</stp>
        <stp>.SPXW240129C4895</stp>
        <tr r="I139" s="7"/>
      </tp>
      <tp>
        <v>41.4</v>
        <stp/>
        <stp>ASK</stp>
        <stp>.SPXW240129C4890</stp>
        <tr r="I138" s="7"/>
      </tp>
      <tp>
        <v>0.05</v>
        <stp/>
        <stp>ASK</stp>
        <stp>.SPXW240129P4895</stp>
        <tr r="O139" s="7"/>
      </tp>
      <tp>
        <v>0.05</v>
        <stp/>
        <stp>ASK</stp>
        <stp>.SPXW240129P4890</stp>
        <tr r="O138" s="7"/>
      </tp>
      <tp>
        <v>46.4</v>
        <stp/>
        <stp>ASK</stp>
        <stp>.SPXW240129C4885</stp>
        <tr r="I137" s="7"/>
      </tp>
      <tp>
        <v>51.4</v>
        <stp/>
        <stp>ASK</stp>
        <stp>.SPXW240129C4880</stp>
        <tr r="I136" s="7"/>
      </tp>
      <tp>
        <v>0.05</v>
        <stp/>
        <stp>ASK</stp>
        <stp>.SPXW240129P4885</stp>
        <tr r="O137" s="7"/>
      </tp>
      <tp>
        <v>0.05</v>
        <stp/>
        <stp>ASK</stp>
        <stp>.SPXW240129P4880</stp>
        <tr r="O136" s="7"/>
      </tp>
      <tp>
        <v>56.4</v>
        <stp/>
        <stp>ASK</stp>
        <stp>.SPXW240129C4875</stp>
        <tr r="I135" s="7"/>
      </tp>
      <tp>
        <v>61.4</v>
        <stp/>
        <stp>ASK</stp>
        <stp>.SPXW240129C4870</stp>
        <tr r="I134" s="7"/>
      </tp>
      <tp>
        <v>0.05</v>
        <stp/>
        <stp>ASK</stp>
        <stp>.SPXW240129P4875</stp>
        <tr r="O135" s="7"/>
      </tp>
      <tp>
        <v>0.05</v>
        <stp/>
        <stp>ASK</stp>
        <stp>.SPXW240129P4870</stp>
        <tr r="O134" s="7"/>
      </tp>
      <tp>
        <v>66.400000000000006</v>
        <stp/>
        <stp>ASK</stp>
        <stp>.SPXW240129C4865</stp>
        <tr r="I133" s="7"/>
      </tp>
      <tp>
        <v>71.400000000000006</v>
        <stp/>
        <stp>ASK</stp>
        <stp>.SPXW240129C4860</stp>
        <tr r="I132" s="7"/>
      </tp>
      <tp>
        <v>0.05</v>
        <stp/>
        <stp>ASK</stp>
        <stp>.SPXW240129P4865</stp>
        <tr r="O133" s="7"/>
      </tp>
      <tp>
        <v>0.05</v>
        <stp/>
        <stp>ASK</stp>
        <stp>.SPXW240129P4860</stp>
        <tr r="O132" s="7"/>
      </tp>
      <tp>
        <v>76.400000000000006</v>
        <stp/>
        <stp>ASK</stp>
        <stp>.SPXW240129C4855</stp>
        <tr r="I131" s="7"/>
      </tp>
      <tp>
        <v>1087.7</v>
        <stp/>
        <stp>ASK</stp>
        <stp>.SPXW240129C3850</stp>
        <tr r="I28" s="7"/>
      </tp>
      <tp>
        <v>81.400000000000006</v>
        <stp/>
        <stp>ASK</stp>
        <stp>.SPXW240129C4850</stp>
        <tr r="I130" s="7"/>
      </tp>
      <tp>
        <v>0.05</v>
        <stp/>
        <stp>ASK</stp>
        <stp>.SPXW240129P4855</stp>
        <tr r="O131" s="7"/>
      </tp>
      <tp>
        <v>0.05</v>
        <stp/>
        <stp>ASK</stp>
        <stp>.SPXW240129P3850</stp>
        <tr r="O28" s="7"/>
      </tp>
      <tp>
        <v>0.05</v>
        <stp/>
        <stp>ASK</stp>
        <stp>.SPXW240129P4850</stp>
        <tr r="O130" s="7"/>
      </tp>
      <tp>
        <v>86.4</v>
        <stp/>
        <stp>ASK</stp>
        <stp>.SPXW240129C4845</stp>
        <tr r="I129" s="7"/>
      </tp>
      <tp>
        <v>91.4</v>
        <stp/>
        <stp>ASK</stp>
        <stp>.SPXW240129C4840</stp>
        <tr r="I128" s="7"/>
      </tp>
      <tp>
        <v>0.05</v>
        <stp/>
        <stp>ASK</stp>
        <stp>.SPXW240129P4845</stp>
        <tr r="O129" s="7"/>
      </tp>
      <tp>
        <v>0.05</v>
        <stp/>
        <stp>ASK</stp>
        <stp>.SPXW240129P4840</stp>
        <tr r="O128" s="7"/>
      </tp>
      <tp>
        <v>96.4</v>
        <stp/>
        <stp>ASK</stp>
        <stp>.SPXW240129C4835</stp>
        <tr r="I127" s="7"/>
      </tp>
      <tp>
        <v>101.4</v>
        <stp/>
        <stp>ASK</stp>
        <stp>.SPXW240129C4830</stp>
        <tr r="I126" s="7"/>
      </tp>
      <tp>
        <v>0.05</v>
        <stp/>
        <stp>ASK</stp>
        <stp>.SPXW240129P4835</stp>
        <tr r="O127" s="7"/>
      </tp>
      <tp>
        <v>0.05</v>
        <stp/>
        <stp>ASK</stp>
        <stp>.SPXW240129P4830</stp>
        <tr r="O126" s="7"/>
      </tp>
      <tp>
        <v>106.4</v>
        <stp/>
        <stp>ASK</stp>
        <stp>.SPXW240129C4825</stp>
        <tr r="I125" s="7"/>
      </tp>
      <tp>
        <v>111.6</v>
        <stp/>
        <stp>ASK</stp>
        <stp>.SPXW240129C4820</stp>
        <tr r="I124" s="7"/>
      </tp>
      <tp>
        <v>0.05</v>
        <stp/>
        <stp>ASK</stp>
        <stp>.SPXW240129P4825</stp>
        <tr r="O125" s="7"/>
      </tp>
      <tp>
        <v>0.05</v>
        <stp/>
        <stp>ASK</stp>
        <stp>.SPXW240129P4820</stp>
        <tr r="O124" s="7"/>
      </tp>
      <tp>
        <v>119.3</v>
        <stp/>
        <stp>ASK</stp>
        <stp>.SPXW240129C4815</stp>
        <tr r="I123" s="7"/>
      </tp>
      <tp>
        <v>124.3</v>
        <stp/>
        <stp>ASK</stp>
        <stp>.SPXW240129C4810</stp>
        <tr r="I122" s="7"/>
      </tp>
      <tp>
        <v>0.05</v>
        <stp/>
        <stp>ASK</stp>
        <stp>.SPXW240129P4815</stp>
        <tr r="O123" s="7"/>
      </tp>
      <tp>
        <v>0.05</v>
        <stp/>
        <stp>ASK</stp>
        <stp>.SPXW240129P4810</stp>
        <tr r="O122" s="7"/>
      </tp>
      <tp>
        <v>129.80000000000001</v>
        <stp/>
        <stp>ASK</stp>
        <stp>.SPXW240129C4805</stp>
        <tr r="I121" s="7"/>
      </tp>
      <tp>
        <v>2137.6999999999998</v>
        <stp/>
        <stp>ASK</stp>
        <stp>.SPXW240129C2800</stp>
        <tr r="I18" s="7"/>
      </tp>
      <tp>
        <v>1137.7</v>
        <stp/>
        <stp>ASK</stp>
        <stp>.SPXW240129C3800</stp>
        <tr r="I27" s="7"/>
      </tp>
      <tp>
        <v>3137.7</v>
        <stp/>
        <stp>ASK</stp>
        <stp>.SPXW240129C1800</stp>
        <tr r="I13" s="7"/>
      </tp>
      <tp>
        <v>134.80000000000001</v>
        <stp/>
        <stp>ASK</stp>
        <stp>.SPXW240129C4800</stp>
        <tr r="I120" s="7"/>
      </tp>
      <tp>
        <v>0.05</v>
        <stp/>
        <stp>ASK</stp>
        <stp>.SPXW240129C5800</stp>
        <tr r="I185" s="7"/>
      </tp>
      <tp>
        <v>0.05</v>
        <stp/>
        <stp>ASK</stp>
        <stp>.SPXW240129P4805</stp>
        <tr r="O121" s="7"/>
      </tp>
      <tp>
        <v>0.05</v>
        <stp/>
        <stp>ASK</stp>
        <stp>.SPXW240129P2800</stp>
        <tr r="O18" s="7"/>
      </tp>
      <tp>
        <v>0.05</v>
        <stp/>
        <stp>ASK</stp>
        <stp>.SPXW240129P3800</stp>
        <tr r="O27" s="7"/>
      </tp>
      <tp>
        <v>0.05</v>
        <stp/>
        <stp>ASK</stp>
        <stp>.SPXW240129P1800</stp>
        <tr r="O13" s="7"/>
      </tp>
      <tp>
        <v>0.05</v>
        <stp/>
        <stp>ASK</stp>
        <stp>.SPXW240129P4800</stp>
        <tr r="O120" s="7"/>
      </tp>
      <tp>
        <v>880.7</v>
        <stp/>
        <stp>ASK</stp>
        <stp>.SPXW240129P5800</stp>
        <tr r="O185" s="7"/>
      </tp>
      <tp>
        <v>0</v>
        <stp/>
        <stp>GAMMA</stp>
        <stp>.SPXW240129P4200</stp>
        <tr r="T37" s="7"/>
      </tp>
      <tp>
        <v>0</v>
        <stp/>
        <stp>GAMMA</stp>
        <stp>.SPXW240129P5200</stp>
        <tr r="T178" s="7"/>
      </tp>
      <tp>
        <v>0</v>
        <stp/>
        <stp>GAMMA</stp>
        <stp>.SPXW240129P6200</stp>
        <tr r="T187" s="7"/>
      </tp>
      <tp>
        <v>0</v>
        <stp/>
        <stp>GAMMA</stp>
        <stp>.SPXW240129P1200</stp>
        <tr r="T10" s="7"/>
      </tp>
      <tp>
        <v>0</v>
        <stp/>
        <stp>GAMMA</stp>
        <stp>.SPXW240129P2200</stp>
        <tr r="T15" s="7"/>
      </tp>
      <tp>
        <v>0</v>
        <stp/>
        <stp>GAMMA</stp>
        <stp>.SPXW240129P3200</stp>
        <tr r="T20" s="7"/>
      </tp>
      <tp>
        <v>0</v>
        <stp/>
        <stp>GAMMA</stp>
        <stp>.SPXW240129C4200</stp>
        <tr r="F37" s="7"/>
      </tp>
      <tp>
        <v>0</v>
        <stp/>
        <stp>GAMMA</stp>
        <stp>.SPXW240129C5200</stp>
        <tr r="F178" s="7"/>
      </tp>
      <tp>
        <v>0</v>
        <stp/>
        <stp>GAMMA</stp>
        <stp>.SPXW240129C6200</stp>
        <tr r="F187" s="7"/>
      </tp>
      <tp>
        <v>0</v>
        <stp/>
        <stp>GAMMA</stp>
        <stp>.SPXW240129C1200</stp>
        <tr r="F10" s="7"/>
      </tp>
      <tp>
        <v>0</v>
        <stp/>
        <stp>GAMMA</stp>
        <stp>.SPXW240129C2200</stp>
        <tr r="F15" s="7"/>
      </tp>
      <tp>
        <v>0</v>
        <stp/>
        <stp>GAMMA</stp>
        <stp>.SPXW240129C3200</stp>
        <tr r="F20" s="7"/>
      </tp>
      <tp>
        <v>0</v>
        <stp/>
        <stp>GAMMA</stp>
        <stp>.SPXW240129P4225</stp>
        <tr r="T38" s="7"/>
      </tp>
      <tp>
        <v>0</v>
        <stp/>
        <stp>GAMMA</stp>
        <stp>.SPXW240129P5225</stp>
        <tr r="T179" s="7"/>
      </tp>
      <tp>
        <v>0</v>
        <stp/>
        <stp>GAMMA</stp>
        <stp>.SPXW240129C4225</stp>
        <tr r="F38" s="7"/>
      </tp>
      <tp>
        <v>0</v>
        <stp/>
        <stp>GAMMA</stp>
        <stp>.SPXW240129C5225</stp>
        <tr r="F179" s="7"/>
      </tp>
      <tp>
        <v>0</v>
        <stp/>
        <stp>GAMMA</stp>
        <stp>.SPXW240129P4250</stp>
        <tr r="T39" s="7"/>
      </tp>
      <tp>
        <v>0</v>
        <stp/>
        <stp>GAMMA</stp>
        <stp>.SPXW240129P5250</stp>
        <tr r="T180" s="7"/>
      </tp>
      <tp>
        <v>0</v>
        <stp/>
        <stp>GAMMA</stp>
        <stp>.SPXW240129C4250</stp>
        <tr r="F39" s="7"/>
      </tp>
      <tp>
        <v>0</v>
        <stp/>
        <stp>GAMMA</stp>
        <stp>.SPXW240129C5250</stp>
        <tr r="F180" s="7"/>
      </tp>
      <tp>
        <v>0</v>
        <stp/>
        <stp>GAMMA</stp>
        <stp>.SPXW240129P4275</stp>
        <tr r="T40" s="7"/>
      </tp>
      <tp>
        <v>0</v>
        <stp/>
        <stp>GAMMA</stp>
        <stp>.SPXW240129C4275</stp>
        <tr r="F40" s="7"/>
      </tp>
      <tp t="s">
        <v>C</v>
        <stp/>
        <stp>AX</stp>
        <stp>.SPXW240129C4920</stp>
        <tr r="J144" s="7"/>
      </tp>
      <tp t="s">
        <v>C</v>
        <stp/>
        <stp>AX</stp>
        <stp>.SPXW240129C4925</stp>
        <tr r="J145" s="7"/>
      </tp>
      <tp t="s">
        <v>C</v>
        <stp/>
        <stp>AX</stp>
        <stp>.SPXW240129P4920</stp>
        <tr r="P144" s="7"/>
      </tp>
      <tp t="s">
        <v>C</v>
        <stp/>
        <stp>AX</stp>
        <stp>.SPXW240129P4925</stp>
        <tr r="P145" s="7"/>
      </tp>
      <tp t="s">
        <v>C</v>
        <stp/>
        <stp>AX</stp>
        <stp>.SPXW240129C4930</stp>
        <tr r="J146" s="7"/>
      </tp>
      <tp t="s">
        <v>C</v>
        <stp/>
        <stp>AX</stp>
        <stp>.SPXW240129C4935</stp>
        <tr r="J147" s="7"/>
      </tp>
      <tp t="s">
        <v>C</v>
        <stp/>
        <stp>AX</stp>
        <stp>.SPXW240129P4930</stp>
        <tr r="P146" s="7"/>
      </tp>
      <tp t="s">
        <v>C</v>
        <stp/>
        <stp>AX</stp>
        <stp>.SPXW240129P4935</stp>
        <tr r="P147" s="7"/>
      </tp>
      <tp t="s">
        <v>C</v>
        <stp/>
        <stp>AX</stp>
        <stp>.SPXW240129C4900</stp>
        <tr r="J140" s="7"/>
      </tp>
      <tp t="s">
        <v>C</v>
        <stp/>
        <stp>AX</stp>
        <stp>.SPXW240129C3900</stp>
        <tr r="J29" s="7"/>
      </tp>
      <tp t="s">
        <v>C</v>
        <stp/>
        <stp>AX</stp>
        <stp>.SPXW240129C4905</stp>
        <tr r="J141" s="7"/>
      </tp>
      <tp t="s">
        <v>C</v>
        <stp/>
        <stp>AX</stp>
        <stp>.SPXW240129P4900</stp>
        <tr r="P140" s="7"/>
      </tp>
      <tp t="s">
        <v>C</v>
        <stp/>
        <stp>AX</stp>
        <stp>.SPXW240129P3900</stp>
        <tr r="P29" s="7"/>
      </tp>
      <tp t="s">
        <v>C</v>
        <stp/>
        <stp>AX</stp>
        <stp>.SPXW240129P4905</stp>
        <tr r="P141" s="7"/>
      </tp>
      <tp t="s">
        <v>C</v>
        <stp/>
        <stp>AX</stp>
        <stp>.SPXW240129C4910</stp>
        <tr r="J142" s="7"/>
      </tp>
      <tp t="s">
        <v>C</v>
        <stp/>
        <stp>AX</stp>
        <stp>.SPXW240129C4915</stp>
        <tr r="J143" s="7"/>
      </tp>
      <tp t="s">
        <v>C</v>
        <stp/>
        <stp>AX</stp>
        <stp>.SPXW240129P4910</stp>
        <tr r="P142" s="7"/>
      </tp>
      <tp t="s">
        <v>C</v>
        <stp/>
        <stp>AX</stp>
        <stp>.SPXW240129P4915</stp>
        <tr r="P143" s="7"/>
      </tp>
      <tp t="s">
        <v>C</v>
        <stp/>
        <stp>AX</stp>
        <stp>.SPXW240129C4960</stp>
        <tr r="J152" s="7"/>
      </tp>
      <tp t="s">
        <v>C</v>
        <stp/>
        <stp>AX</stp>
        <stp>.SPXW240129C4965</stp>
        <tr r="J153" s="7"/>
      </tp>
      <tp t="s">
        <v>C</v>
        <stp/>
        <stp>AX</stp>
        <stp>.SPXW240129P4960</stp>
        <tr r="P152" s="7"/>
      </tp>
      <tp t="s">
        <v>C</v>
        <stp/>
        <stp>AX</stp>
        <stp>.SPXW240129P4965</stp>
        <tr r="P153" s="7"/>
      </tp>
      <tp t="s">
        <v>C</v>
        <stp/>
        <stp>AX</stp>
        <stp>.SPXW240129C4970</stp>
        <tr r="J154" s="7"/>
      </tp>
      <tp t="s">
        <v>C</v>
        <stp/>
        <stp>AX</stp>
        <stp>.SPXW240129C4975</stp>
        <tr r="J155" s="7"/>
      </tp>
      <tp t="s">
        <v>C</v>
        <stp/>
        <stp>AX</stp>
        <stp>.SPXW240129P4970</stp>
        <tr r="P154" s="7"/>
      </tp>
      <tp t="s">
        <v>C</v>
        <stp/>
        <stp>AX</stp>
        <stp>.SPXW240129P4975</stp>
        <tr r="P155" s="7"/>
      </tp>
      <tp t="s">
        <v>C</v>
        <stp/>
        <stp>AX</stp>
        <stp>.SPXW240129C4940</stp>
        <tr r="J148" s="7"/>
      </tp>
      <tp t="s">
        <v>C</v>
        <stp/>
        <stp>AX</stp>
        <stp>.SPXW240129C4945</stp>
        <tr r="J149" s="7"/>
      </tp>
      <tp t="s">
        <v>C</v>
        <stp/>
        <stp>AX</stp>
        <stp>.SPXW240129P4940</stp>
        <tr r="P148" s="7"/>
      </tp>
      <tp t="s">
        <v>C</v>
        <stp/>
        <stp>AX</stp>
        <stp>.SPXW240129P4945</stp>
        <tr r="P149" s="7"/>
      </tp>
      <tp t="s">
        <v>C</v>
        <stp/>
        <stp>AX</stp>
        <stp>.SPXW240129C4950</stp>
        <tr r="J150" s="7"/>
      </tp>
      <tp t="s">
        <v>C</v>
        <stp/>
        <stp>AX</stp>
        <stp>.SPXW240129C3950</stp>
        <tr r="J30" s="7"/>
      </tp>
      <tp t="s">
        <v>C</v>
        <stp/>
        <stp>AX</stp>
        <stp>.SPXW240129C4955</stp>
        <tr r="J151" s="7"/>
      </tp>
      <tp t="s">
        <v>C</v>
        <stp/>
        <stp>AX</stp>
        <stp>.SPXW240129P4950</stp>
        <tr r="P150" s="7"/>
      </tp>
      <tp t="s">
        <v>C</v>
        <stp/>
        <stp>AX</stp>
        <stp>.SPXW240129P3950</stp>
        <tr r="P30" s="7"/>
      </tp>
      <tp t="s">
        <v>C</v>
        <stp/>
        <stp>AX</stp>
        <stp>.SPXW240129P4955</stp>
        <tr r="P151" s="7"/>
      </tp>
      <tp t="s">
        <v>C</v>
        <stp/>
        <stp>AX</stp>
        <stp>.SPXW240129C4980</stp>
        <tr r="J156" s="7"/>
      </tp>
      <tp t="s">
        <v>C</v>
        <stp/>
        <stp>AX</stp>
        <stp>.SPXW240129C4985</stp>
        <tr r="J157" s="7"/>
      </tp>
      <tp t="s">
        <v>C</v>
        <stp/>
        <stp>AX</stp>
        <stp>.SPXW240129P4980</stp>
        <tr r="P156" s="7"/>
      </tp>
      <tp t="s">
        <v>C</v>
        <stp/>
        <stp>AX</stp>
        <stp>.SPXW240129P4985</stp>
        <tr r="P157" s="7"/>
      </tp>
      <tp t="s">
        <v>C</v>
        <stp/>
        <stp>AX</stp>
        <stp>.SPXW240129C4990</stp>
        <tr r="J158" s="7"/>
      </tp>
      <tp t="s">
        <v>C</v>
        <stp/>
        <stp>AX</stp>
        <stp>.SPXW240129C4995</stp>
        <tr r="J159" s="7"/>
      </tp>
      <tp t="s">
        <v>C</v>
        <stp/>
        <stp>AX</stp>
        <stp>.SPXW240129P4990</stp>
        <tr r="P158" s="7"/>
      </tp>
      <tp t="s">
        <v>C</v>
        <stp/>
        <stp>AX</stp>
        <stp>.SPXW240129P4995</stp>
        <tr r="P159" s="7"/>
      </tp>
      <tp>
        <v>0</v>
        <stp/>
        <stp>DELTA</stp>
        <stp>.SPXW240129P4430</stp>
        <tr r="S52" s="7"/>
      </tp>
      <tp>
        <v>1</v>
        <stp/>
        <stp>DELTA</stp>
        <stp>.SPXW240129C4430</stp>
        <tr r="E52" s="7"/>
      </tp>
      <tp>
        <v>0</v>
        <stp/>
        <stp>DELTA</stp>
        <stp>.SPXW240129P4420</stp>
        <tr r="S50" s="7"/>
      </tp>
      <tp>
        <v>0</v>
        <stp/>
        <stp>DELTA</stp>
        <stp>.SPXW240129P4425</stp>
        <tr r="S51" s="7"/>
      </tp>
      <tp>
        <v>1</v>
        <stp/>
        <stp>DELTA</stp>
        <stp>.SPXW240129C4420</stp>
        <tr r="E50" s="7"/>
      </tp>
      <tp>
        <v>1</v>
        <stp/>
        <stp>DELTA</stp>
        <stp>.SPXW240129C4425</stp>
        <tr r="E51" s="7"/>
      </tp>
      <tp>
        <v>0</v>
        <stp/>
        <stp>DELTA</stp>
        <stp>.SPXW240129P4410</stp>
        <tr r="S49" s="7"/>
      </tp>
      <tp>
        <v>1</v>
        <stp/>
        <stp>DELTA</stp>
        <stp>.SPXW240129C4410</stp>
        <tr r="E49" s="7"/>
      </tp>
      <tp>
        <v>-0.33</v>
        <stp/>
        <stp>DELTA</stp>
        <stp>.SPXW240129P5400</stp>
        <tr r="S182" s="7"/>
      </tp>
      <tp>
        <v>0</v>
        <stp/>
        <stp>DELTA</stp>
        <stp>.SPXW240129P4400</stp>
        <tr r="S48" s="7"/>
      </tp>
      <tp>
        <v>0</v>
        <stp/>
        <stp>DELTA</stp>
        <stp>.SPXW240129P1400</stp>
        <tr r="S11" s="7"/>
      </tp>
      <tp>
        <v>0</v>
        <stp/>
        <stp>DELTA</stp>
        <stp>.SPXW240129P3400</stp>
        <tr r="S21" s="7"/>
      </tp>
      <tp>
        <v>0</v>
        <stp/>
        <stp>DELTA</stp>
        <stp>.SPXW240129P2400</stp>
        <tr r="S16" s="7"/>
      </tp>
      <tp>
        <v>1</v>
        <stp/>
        <stp>DELTA</stp>
        <stp>.SPXW240129C5400</stp>
        <tr r="E182" s="7"/>
      </tp>
      <tp>
        <v>1</v>
        <stp/>
        <stp>DELTA</stp>
        <stp>.SPXW240129C4400</stp>
        <tr r="E48" s="7"/>
      </tp>
      <tp>
        <v>1</v>
        <stp/>
        <stp>DELTA</stp>
        <stp>.SPXW240129C1400</stp>
        <tr r="E11" s="7"/>
      </tp>
      <tp>
        <v>1</v>
        <stp/>
        <stp>DELTA</stp>
        <stp>.SPXW240129C3400</stp>
        <tr r="E21" s="7"/>
      </tp>
      <tp>
        <v>1</v>
        <stp/>
        <stp>DELTA</stp>
        <stp>.SPXW240129C2400</stp>
        <tr r="E16" s="7"/>
      </tp>
      <tp>
        <v>0</v>
        <stp/>
        <stp>DELTA</stp>
        <stp>.SPXW240129P4470</stp>
        <tr r="S56" s="7"/>
      </tp>
      <tp>
        <v>0</v>
        <stp/>
        <stp>DELTA</stp>
        <stp>.SPXW240129P4475</stp>
        <tr r="S57" s="7"/>
      </tp>
      <tp>
        <v>1</v>
        <stp/>
        <stp>DELTA</stp>
        <stp>.SPXW240129C4470</stp>
        <tr r="E56" s="7"/>
      </tp>
      <tp>
        <v>1</v>
        <stp/>
        <stp>DELTA</stp>
        <stp>.SPXW240129C4475</stp>
        <tr r="E57" s="7"/>
      </tp>
      <tp>
        <v>0</v>
        <stp/>
        <stp>DELTA</stp>
        <stp>.SPXW240129P4460</stp>
        <tr r="S55" s="7"/>
      </tp>
      <tp>
        <v>1</v>
        <stp/>
        <stp>DELTA</stp>
        <stp>.SPXW240129C4460</stp>
        <tr r="E55" s="7"/>
      </tp>
      <tp>
        <v>0</v>
        <stp/>
        <stp>DELTA</stp>
        <stp>.SPXW240129P4450</stp>
        <tr r="S54" s="7"/>
      </tp>
      <tp>
        <v>1</v>
        <stp/>
        <stp>DELTA</stp>
        <stp>.SPXW240129C4450</stp>
        <tr r="E54" s="7"/>
      </tp>
      <tp>
        <v>0</v>
        <stp/>
        <stp>DELTA</stp>
        <stp>.SPXW240129P4440</stp>
        <tr r="S53" s="7"/>
      </tp>
      <tp>
        <v>1</v>
        <stp/>
        <stp>DELTA</stp>
        <stp>.SPXW240129C4440</stp>
        <tr r="E53" s="7"/>
      </tp>
      <tp>
        <v>0</v>
        <stp/>
        <stp>DELTA</stp>
        <stp>.SPXW240129P4490</stp>
        <tr r="S59" s="7"/>
      </tp>
      <tp>
        <v>1</v>
        <stp/>
        <stp>DELTA</stp>
        <stp>.SPXW240129C4490</stp>
        <tr r="E59" s="7"/>
      </tp>
      <tp>
        <v>0</v>
        <stp/>
        <stp>DELTA</stp>
        <stp>.SPXW240129P4480</stp>
        <tr r="S58" s="7"/>
      </tp>
      <tp>
        <v>1</v>
        <stp/>
        <stp>DELTA</stp>
        <stp>.SPXW240129C4480</stp>
        <tr r="E58" s="7"/>
      </tp>
      <tp t="s">
        <v>C</v>
        <stp/>
        <stp>AX</stp>
        <stp>.SPXW240129C4820</stp>
        <tr r="J124" s="7"/>
      </tp>
      <tp t="s">
        <v>C</v>
        <stp/>
        <stp>AX</stp>
        <stp>.SPXW240129C4825</stp>
        <tr r="J125" s="7"/>
      </tp>
      <tp t="s">
        <v>C</v>
        <stp/>
        <stp>AX</stp>
        <stp>.SPXW240129P4820</stp>
        <tr r="P124" s="7"/>
      </tp>
      <tp t="s">
        <v>C</v>
        <stp/>
        <stp>AX</stp>
        <stp>.SPXW240129P4825</stp>
        <tr r="P125" s="7"/>
      </tp>
      <tp t="s">
        <v>C</v>
        <stp/>
        <stp>AX</stp>
        <stp>.SPXW240129C4830</stp>
        <tr r="J126" s="7"/>
      </tp>
      <tp t="s">
        <v>C</v>
        <stp/>
        <stp>AX</stp>
        <stp>.SPXW240129C4835</stp>
        <tr r="J127" s="7"/>
      </tp>
      <tp t="s">
        <v>C</v>
        <stp/>
        <stp>AX</stp>
        <stp>.SPXW240129P4830</stp>
        <tr r="P126" s="7"/>
      </tp>
      <tp t="s">
        <v>C</v>
        <stp/>
        <stp>AX</stp>
        <stp>.SPXW240129P4835</stp>
        <tr r="P127" s="7"/>
      </tp>
      <tp t="s">
        <v>C</v>
        <stp/>
        <stp>AX</stp>
        <stp>.SPXW240129C4800</stp>
        <tr r="J120" s="7"/>
      </tp>
      <tp t="s">
        <v>C</v>
        <stp/>
        <stp>AX</stp>
        <stp>.SPXW240129C5800</stp>
        <tr r="J185" s="7"/>
      </tp>
      <tp t="s">
        <v>C</v>
        <stp/>
        <stp>AX</stp>
        <stp>.SPXW240129C1800</stp>
        <tr r="J13" s="7"/>
      </tp>
      <tp t="s">
        <v>C</v>
        <stp/>
        <stp>AX</stp>
        <stp>.SPXW240129C2800</stp>
        <tr r="J18" s="7"/>
      </tp>
      <tp t="s">
        <v>C</v>
        <stp/>
        <stp>AX</stp>
        <stp>.SPXW240129C3800</stp>
        <tr r="J27" s="7"/>
      </tp>
      <tp t="s">
        <v>C</v>
        <stp/>
        <stp>AX</stp>
        <stp>.SPXW240129C4805</stp>
        <tr r="J121" s="7"/>
      </tp>
      <tp t="s">
        <v>C</v>
        <stp/>
        <stp>AX</stp>
        <stp>.SPXW240129P4800</stp>
        <tr r="P120" s="7"/>
      </tp>
      <tp t="s">
        <v>C</v>
        <stp/>
        <stp>AX</stp>
        <stp>.SPXW240129P5800</stp>
        <tr r="P185" s="7"/>
      </tp>
      <tp t="s">
        <v>C</v>
        <stp/>
        <stp>AX</stp>
        <stp>.SPXW240129P1800</stp>
        <tr r="P13" s="7"/>
      </tp>
      <tp t="s">
        <v>C</v>
        <stp/>
        <stp>AX</stp>
        <stp>.SPXW240129P2800</stp>
        <tr r="P18" s="7"/>
      </tp>
      <tp t="s">
        <v>C</v>
        <stp/>
        <stp>AX</stp>
        <stp>.SPXW240129P3800</stp>
        <tr r="P27" s="7"/>
      </tp>
      <tp t="s">
        <v>C</v>
        <stp/>
        <stp>AX</stp>
        <stp>.SPXW240129P4805</stp>
        <tr r="P121" s="7"/>
      </tp>
      <tp t="s">
        <v>C</v>
        <stp/>
        <stp>AX</stp>
        <stp>.SPXW240129C4810</stp>
        <tr r="J122" s="7"/>
      </tp>
      <tp t="s">
        <v>C</v>
        <stp/>
        <stp>AX</stp>
        <stp>.SPXW240129C4815</stp>
        <tr r="J123" s="7"/>
      </tp>
      <tp t="s">
        <v>C</v>
        <stp/>
        <stp>AX</stp>
        <stp>.SPXW240129P4810</stp>
        <tr r="P122" s="7"/>
      </tp>
      <tp t="s">
        <v>C</v>
        <stp/>
        <stp>AX</stp>
        <stp>.SPXW240129P4815</stp>
        <tr r="P123" s="7"/>
      </tp>
      <tp t="s">
        <v>C</v>
        <stp/>
        <stp>AX</stp>
        <stp>.SPXW240129C4860</stp>
        <tr r="J132" s="7"/>
      </tp>
      <tp t="s">
        <v>C</v>
        <stp/>
        <stp>AX</stp>
        <stp>.SPXW240129C4865</stp>
        <tr r="J133" s="7"/>
      </tp>
      <tp t="s">
        <v>C</v>
        <stp/>
        <stp>AX</stp>
        <stp>.SPXW240129P4860</stp>
        <tr r="P132" s="7"/>
      </tp>
      <tp t="s">
        <v>C</v>
        <stp/>
        <stp>AX</stp>
        <stp>.SPXW240129P4865</stp>
        <tr r="P133" s="7"/>
      </tp>
      <tp t="s">
        <v>C</v>
        <stp/>
        <stp>AX</stp>
        <stp>.SPXW240129C4870</stp>
        <tr r="J134" s="7"/>
      </tp>
      <tp t="s">
        <v>C</v>
        <stp/>
        <stp>AX</stp>
        <stp>.SPXW240129C4875</stp>
        <tr r="J135" s="7"/>
      </tp>
      <tp t="s">
        <v>C</v>
        <stp/>
        <stp>AX</stp>
        <stp>.SPXW240129P4870</stp>
        <tr r="P134" s="7"/>
      </tp>
      <tp t="s">
        <v>C</v>
        <stp/>
        <stp>AX</stp>
        <stp>.SPXW240129P4875</stp>
        <tr r="P135" s="7"/>
      </tp>
      <tp t="s">
        <v>C</v>
        <stp/>
        <stp>AX</stp>
        <stp>.SPXW240129C4840</stp>
        <tr r="J128" s="7"/>
      </tp>
      <tp t="s">
        <v>C</v>
        <stp/>
        <stp>AX</stp>
        <stp>.SPXW240129C4845</stp>
        <tr r="J129" s="7"/>
      </tp>
      <tp t="s">
        <v>C</v>
        <stp/>
        <stp>AX</stp>
        <stp>.SPXW240129P4840</stp>
        <tr r="P128" s="7"/>
      </tp>
      <tp t="s">
        <v>C</v>
        <stp/>
        <stp>AX</stp>
        <stp>.SPXW240129P4845</stp>
        <tr r="P129" s="7"/>
      </tp>
      <tp t="s">
        <v>C</v>
        <stp/>
        <stp>AX</stp>
        <stp>.SPXW240129C4850</stp>
        <tr r="J130" s="7"/>
      </tp>
      <tp t="s">
        <v>C</v>
        <stp/>
        <stp>AX</stp>
        <stp>.SPXW240129C3850</stp>
        <tr r="J28" s="7"/>
      </tp>
      <tp t="s">
        <v>C</v>
        <stp/>
        <stp>AX</stp>
        <stp>.SPXW240129C4855</stp>
        <tr r="J131" s="7"/>
      </tp>
      <tp t="s">
        <v>C</v>
        <stp/>
        <stp>AX</stp>
        <stp>.SPXW240129P4850</stp>
        <tr r="P130" s="7"/>
      </tp>
      <tp t="s">
        <v>C</v>
        <stp/>
        <stp>AX</stp>
        <stp>.SPXW240129P3850</stp>
        <tr r="P28" s="7"/>
      </tp>
      <tp t="s">
        <v>C</v>
        <stp/>
        <stp>AX</stp>
        <stp>.SPXW240129P4855</stp>
        <tr r="P131" s="7"/>
      </tp>
      <tp t="s">
        <v>C</v>
        <stp/>
        <stp>AX</stp>
        <stp>.SPXW240129C4880</stp>
        <tr r="J136" s="7"/>
      </tp>
      <tp t="s">
        <v>C</v>
        <stp/>
        <stp>AX</stp>
        <stp>.SPXW240129C4885</stp>
        <tr r="J137" s="7"/>
      </tp>
      <tp t="s">
        <v>C</v>
        <stp/>
        <stp>AX</stp>
        <stp>.SPXW240129P4880</stp>
        <tr r="P136" s="7"/>
      </tp>
      <tp t="s">
        <v>C</v>
        <stp/>
        <stp>AX</stp>
        <stp>.SPXW240129P4885</stp>
        <tr r="P137" s="7"/>
      </tp>
      <tp t="s">
        <v>C</v>
        <stp/>
        <stp>AX</stp>
        <stp>.SPXW240129C4890</stp>
        <tr r="J138" s="7"/>
      </tp>
      <tp t="s">
        <v>C</v>
        <stp/>
        <stp>AX</stp>
        <stp>.SPXW240129C4895</stp>
        <tr r="J139" s="7"/>
      </tp>
      <tp t="s">
        <v>C</v>
        <stp/>
        <stp>AX</stp>
        <stp>.SPXW240129P4890</stp>
        <tr r="P138" s="7"/>
      </tp>
      <tp t="s">
        <v>C</v>
        <stp/>
        <stp>AX</stp>
        <stp>.SPXW240129P4895</stp>
        <tr r="P139" s="7"/>
      </tp>
      <tp>
        <v>0</v>
        <stp/>
        <stp>DELTA</stp>
        <stp>.SPXW240129P4530</stp>
        <tr r="S66" s="7"/>
      </tp>
      <tp>
        <v>0</v>
        <stp/>
        <stp>DELTA</stp>
        <stp>.SPXW240129P4535</stp>
        <tr r="S67" s="7"/>
      </tp>
      <tp>
        <v>1</v>
        <stp/>
        <stp>DELTA</stp>
        <stp>.SPXW240129C4530</stp>
        <tr r="E66" s="7"/>
      </tp>
      <tp>
        <v>1</v>
        <stp/>
        <stp>DELTA</stp>
        <stp>.SPXW240129C4535</stp>
        <tr r="E67" s="7"/>
      </tp>
      <tp>
        <v>0</v>
        <stp/>
        <stp>DELTA</stp>
        <stp>.SPXW240129P4520</stp>
        <tr r="S64" s="7"/>
      </tp>
      <tp>
        <v>0</v>
        <stp/>
        <stp>DELTA</stp>
        <stp>.SPXW240129P4525</stp>
        <tr r="S65" s="7"/>
      </tp>
      <tp>
        <v>1</v>
        <stp/>
        <stp>DELTA</stp>
        <stp>.SPXW240129C4520</stp>
        <tr r="E64" s="7"/>
      </tp>
      <tp>
        <v>1</v>
        <stp/>
        <stp>DELTA</stp>
        <stp>.SPXW240129C4525</stp>
        <tr r="E65" s="7"/>
      </tp>
      <tp>
        <v>0</v>
        <stp/>
        <stp>DELTA</stp>
        <stp>.SPXW240129P4510</stp>
        <tr r="S62" s="7"/>
      </tp>
      <tp>
        <v>0</v>
        <stp/>
        <stp>DELTA</stp>
        <stp>.SPXW240129P4515</stp>
        <tr r="S63" s="7"/>
      </tp>
      <tp>
        <v>1</v>
        <stp/>
        <stp>DELTA</stp>
        <stp>.SPXW240129C4510</stp>
        <tr r="E62" s="7"/>
      </tp>
      <tp>
        <v>1</v>
        <stp/>
        <stp>DELTA</stp>
        <stp>.SPXW240129C4515</stp>
        <tr r="E63" s="7"/>
      </tp>
      <tp>
        <v>-0.35</v>
        <stp/>
        <stp>DELTA</stp>
        <stp>.SPXW240129P5500</stp>
        <tr r="S183" s="7"/>
      </tp>
      <tp>
        <v>0</v>
        <stp/>
        <stp>DELTA</stp>
        <stp>.SPXW240129P4500</stp>
        <tr r="S60" s="7"/>
      </tp>
      <tp>
        <v>0</v>
        <stp/>
        <stp>DELTA</stp>
        <stp>.SPXW240129P3500</stp>
        <tr r="S22" s="7"/>
      </tp>
      <tp>
        <v>0</v>
        <stp/>
        <stp>DELTA</stp>
        <stp>.SPXW240129P4505</stp>
        <tr r="S61" s="7"/>
      </tp>
      <tp>
        <v>1</v>
        <stp/>
        <stp>DELTA</stp>
        <stp>.SPXW240129C5500</stp>
        <tr r="E183" s="7"/>
      </tp>
      <tp>
        <v>1</v>
        <stp/>
        <stp>DELTA</stp>
        <stp>.SPXW240129C4500</stp>
        <tr r="E60" s="7"/>
      </tp>
      <tp>
        <v>1</v>
        <stp/>
        <stp>DELTA</stp>
        <stp>.SPXW240129C3500</stp>
        <tr r="E22" s="7"/>
      </tp>
      <tp>
        <v>1</v>
        <stp/>
        <stp>DELTA</stp>
        <stp>.SPXW240129C4505</stp>
        <tr r="E61" s="7"/>
      </tp>
      <tp>
        <v>0</v>
        <stp/>
        <stp>DELTA</stp>
        <stp>.SPXW240129P4570</stp>
        <tr r="S74" s="7"/>
      </tp>
      <tp>
        <v>0</v>
        <stp/>
        <stp>DELTA</stp>
        <stp>.SPXW240129P4575</stp>
        <tr r="S75" s="7"/>
      </tp>
      <tp>
        <v>1</v>
        <stp/>
        <stp>DELTA</stp>
        <stp>.SPXW240129C4570</stp>
        <tr r="E74" s="7"/>
      </tp>
      <tp>
        <v>1</v>
        <stp/>
        <stp>DELTA</stp>
        <stp>.SPXW240129C4575</stp>
        <tr r="E75" s="7"/>
      </tp>
      <tp>
        <v>0</v>
        <stp/>
        <stp>DELTA</stp>
        <stp>.SPXW240129P4560</stp>
        <tr r="S72" s="7"/>
      </tp>
      <tp>
        <v>0</v>
        <stp/>
        <stp>DELTA</stp>
        <stp>.SPXW240129P4565</stp>
        <tr r="S73" s="7"/>
      </tp>
      <tp>
        <v>1</v>
        <stp/>
        <stp>DELTA</stp>
        <stp>.SPXW240129C4560</stp>
        <tr r="E72" s="7"/>
      </tp>
      <tp>
        <v>1</v>
        <stp/>
        <stp>DELTA</stp>
        <stp>.SPXW240129C4565</stp>
        <tr r="E73" s="7"/>
      </tp>
      <tp>
        <v>0</v>
        <stp/>
        <stp>DELTA</stp>
        <stp>.SPXW240129P4550</stp>
        <tr r="S70" s="7"/>
      </tp>
      <tp>
        <v>0</v>
        <stp/>
        <stp>DELTA</stp>
        <stp>.SPXW240129P4555</stp>
        <tr r="S71" s="7"/>
      </tp>
      <tp>
        <v>1</v>
        <stp/>
        <stp>DELTA</stp>
        <stp>.SPXW240129C4550</stp>
        <tr r="E70" s="7"/>
      </tp>
      <tp>
        <v>1</v>
        <stp/>
        <stp>DELTA</stp>
        <stp>.SPXW240129C4555</stp>
        <tr r="E71" s="7"/>
      </tp>
      <tp>
        <v>0</v>
        <stp/>
        <stp>DELTA</stp>
        <stp>.SPXW240129P4540</stp>
        <tr r="S68" s="7"/>
      </tp>
      <tp>
        <v>0</v>
        <stp/>
        <stp>DELTA</stp>
        <stp>.SPXW240129P4545</stp>
        <tr r="S69" s="7"/>
      </tp>
      <tp>
        <v>1</v>
        <stp/>
        <stp>DELTA</stp>
        <stp>.SPXW240129C4540</stp>
        <tr r="E68" s="7"/>
      </tp>
      <tp>
        <v>1</v>
        <stp/>
        <stp>DELTA</stp>
        <stp>.SPXW240129C4545</stp>
        <tr r="E69" s="7"/>
      </tp>
      <tp>
        <v>0</v>
        <stp/>
        <stp>DELTA</stp>
        <stp>.SPXW240129P4590</stp>
        <tr r="S78" s="7"/>
      </tp>
      <tp>
        <v>0</v>
        <stp/>
        <stp>DELTA</stp>
        <stp>.SPXW240129P4595</stp>
        <tr r="S79" s="7"/>
      </tp>
      <tp>
        <v>1</v>
        <stp/>
        <stp>DELTA</stp>
        <stp>.SPXW240129C4590</stp>
        <tr r="E78" s="7"/>
      </tp>
      <tp>
        <v>1</v>
        <stp/>
        <stp>DELTA</stp>
        <stp>.SPXW240129C4595</stp>
        <tr r="E79" s="7"/>
      </tp>
      <tp>
        <v>0</v>
        <stp/>
        <stp>DELTA</stp>
        <stp>.SPXW240129P4580</stp>
        <tr r="S76" s="7"/>
      </tp>
      <tp>
        <v>0</v>
        <stp/>
        <stp>DELTA</stp>
        <stp>.SPXW240129P4585</stp>
        <tr r="S77" s="7"/>
      </tp>
      <tp>
        <v>1</v>
        <stp/>
        <stp>DELTA</stp>
        <stp>.SPXW240129C4580</stp>
        <tr r="E76" s="7"/>
      </tp>
      <tp>
        <v>1</v>
        <stp/>
        <stp>DELTA</stp>
        <stp>.SPXW240129C4585</stp>
        <tr r="E77" s="7"/>
      </tp>
      <tp t="s">
        <v>C</v>
        <stp/>
        <stp>BX</stp>
        <stp>.SPXW240129C4820</stp>
        <tr r="H124" s="7"/>
      </tp>
      <tp t="s">
        <v>C</v>
        <stp/>
        <stp>BX</stp>
        <stp>.SPXW240129C4825</stp>
        <tr r="H125" s="7"/>
      </tp>
      <tp t="s">
        <v>C</v>
        <stp/>
        <stp>BX</stp>
        <stp>.SPXW240129P4820</stp>
        <tr r="N124" s="7"/>
      </tp>
      <tp t="s">
        <v>C</v>
        <stp/>
        <stp>BX</stp>
        <stp>.SPXW240129P4825</stp>
        <tr r="N125" s="7"/>
      </tp>
      <tp t="s">
        <v>C</v>
        <stp/>
        <stp>BX</stp>
        <stp>.SPXW240129C4830</stp>
        <tr r="H126" s="7"/>
      </tp>
      <tp t="s">
        <v>C</v>
        <stp/>
        <stp>BX</stp>
        <stp>.SPXW240129C4835</stp>
        <tr r="H127" s="7"/>
      </tp>
      <tp t="s">
        <v>C</v>
        <stp/>
        <stp>BX</stp>
        <stp>.SPXW240129P4830</stp>
        <tr r="N126" s="7"/>
      </tp>
      <tp t="s">
        <v>C</v>
        <stp/>
        <stp>BX</stp>
        <stp>.SPXW240129P4835</stp>
        <tr r="N127" s="7"/>
      </tp>
      <tp t="s">
        <v>C</v>
        <stp/>
        <stp>BX</stp>
        <stp>.SPXW240129C4800</stp>
        <tr r="H120" s="7"/>
      </tp>
      <tp t="s">
        <v>C</v>
        <stp/>
        <stp>BX</stp>
        <stp>.SPXW240129C5800</stp>
        <tr r="H185" s="7"/>
      </tp>
      <tp t="s">
        <v>C</v>
        <stp/>
        <stp>BX</stp>
        <stp>.SPXW240129C1800</stp>
        <tr r="H13" s="7"/>
      </tp>
      <tp t="s">
        <v>C</v>
        <stp/>
        <stp>BX</stp>
        <stp>.SPXW240129C2800</stp>
        <tr r="H18" s="7"/>
      </tp>
      <tp t="s">
        <v>C</v>
        <stp/>
        <stp>BX</stp>
        <stp>.SPXW240129C3800</stp>
        <tr r="H27" s="7"/>
      </tp>
      <tp t="s">
        <v>C</v>
        <stp/>
        <stp>BX</stp>
        <stp>.SPXW240129C4805</stp>
        <tr r="H121" s="7"/>
      </tp>
      <tp t="s">
        <v>C</v>
        <stp/>
        <stp>BX</stp>
        <stp>.SPXW240129P4800</stp>
        <tr r="N120" s="7"/>
      </tp>
      <tp t="s">
        <v>C</v>
        <stp/>
        <stp>BX</stp>
        <stp>.SPXW240129P5800</stp>
        <tr r="N185" s="7"/>
      </tp>
      <tp t="s">
        <v>C</v>
        <stp/>
        <stp>BX</stp>
        <stp>.SPXW240129P1800</stp>
        <tr r="N13" s="7"/>
      </tp>
      <tp t="s">
        <v>C</v>
        <stp/>
        <stp>BX</stp>
        <stp>.SPXW240129P2800</stp>
        <tr r="N18" s="7"/>
      </tp>
      <tp t="s">
        <v>C</v>
        <stp/>
        <stp>BX</stp>
        <stp>.SPXW240129P3800</stp>
        <tr r="N27" s="7"/>
      </tp>
      <tp t="s">
        <v>C</v>
        <stp/>
        <stp>BX</stp>
        <stp>.SPXW240129P4805</stp>
        <tr r="N121" s="7"/>
      </tp>
      <tp t="s">
        <v>C</v>
        <stp/>
        <stp>BX</stp>
        <stp>.SPXW240129C4810</stp>
        <tr r="H122" s="7"/>
      </tp>
      <tp t="s">
        <v>C</v>
        <stp/>
        <stp>BX</stp>
        <stp>.SPXW240129C4815</stp>
        <tr r="H123" s="7"/>
      </tp>
      <tp t="s">
        <v>C</v>
        <stp/>
        <stp>BX</stp>
        <stp>.SPXW240129P4810</stp>
        <tr r="N122" s="7"/>
      </tp>
      <tp t="s">
        <v>C</v>
        <stp/>
        <stp>BX</stp>
        <stp>.SPXW240129P4815</stp>
        <tr r="N123" s="7"/>
      </tp>
      <tp t="s">
        <v>C</v>
        <stp/>
        <stp>BX</stp>
        <stp>.SPXW240129C4860</stp>
        <tr r="H132" s="7"/>
      </tp>
      <tp t="s">
        <v>C</v>
        <stp/>
        <stp>BX</stp>
        <stp>.SPXW240129C4865</stp>
        <tr r="H133" s="7"/>
      </tp>
      <tp t="s">
        <v>C</v>
        <stp/>
        <stp>BX</stp>
        <stp>.SPXW240129P4860</stp>
        <tr r="N132" s="7"/>
      </tp>
      <tp t="s">
        <v>C</v>
        <stp/>
        <stp>BX</stp>
        <stp>.SPXW240129P4865</stp>
        <tr r="N133" s="7"/>
      </tp>
      <tp t="s">
        <v>C</v>
        <stp/>
        <stp>BX</stp>
        <stp>.SPXW240129C4870</stp>
        <tr r="H134" s="7"/>
      </tp>
      <tp t="s">
        <v>C</v>
        <stp/>
        <stp>BX</stp>
        <stp>.SPXW240129C4875</stp>
        <tr r="H135" s="7"/>
      </tp>
      <tp t="s">
        <v>C</v>
        <stp/>
        <stp>BX</stp>
        <stp>.SPXW240129P4870</stp>
        <tr r="N134" s="7"/>
      </tp>
      <tp t="s">
        <v>C</v>
        <stp/>
        <stp>BX</stp>
        <stp>.SPXW240129P4875</stp>
        <tr r="N135" s="7"/>
      </tp>
      <tp t="s">
        <v>C</v>
        <stp/>
        <stp>BX</stp>
        <stp>.SPXW240129C4840</stp>
        <tr r="H128" s="7"/>
      </tp>
      <tp t="s">
        <v>C</v>
        <stp/>
        <stp>BX</stp>
        <stp>.SPXW240129C4845</stp>
        <tr r="H129" s="7"/>
      </tp>
      <tp t="s">
        <v>C</v>
        <stp/>
        <stp>BX</stp>
        <stp>.SPXW240129P4840</stp>
        <tr r="N128" s="7"/>
      </tp>
      <tp t="s">
        <v>C</v>
        <stp/>
        <stp>BX</stp>
        <stp>.SPXW240129P4845</stp>
        <tr r="N129" s="7"/>
      </tp>
      <tp t="s">
        <v>C</v>
        <stp/>
        <stp>BX</stp>
        <stp>.SPXW240129C4850</stp>
        <tr r="H130" s="7"/>
      </tp>
      <tp t="s">
        <v>C</v>
        <stp/>
        <stp>BX</stp>
        <stp>.SPXW240129C3850</stp>
        <tr r="H28" s="7"/>
      </tp>
      <tp t="s">
        <v>C</v>
        <stp/>
        <stp>BX</stp>
        <stp>.SPXW240129C4855</stp>
        <tr r="H131" s="7"/>
      </tp>
      <tp t="s">
        <v>C</v>
        <stp/>
        <stp>BX</stp>
        <stp>.SPXW240129P4850</stp>
        <tr r="N130" s="7"/>
      </tp>
      <tp t="s">
        <v>C</v>
        <stp/>
        <stp>BX</stp>
        <stp>.SPXW240129P3850</stp>
        <tr r="N28" s="7"/>
      </tp>
      <tp t="s">
        <v>C</v>
        <stp/>
        <stp>BX</stp>
        <stp>.SPXW240129P4855</stp>
        <tr r="N131" s="7"/>
      </tp>
      <tp t="s">
        <v>C</v>
        <stp/>
        <stp>BX</stp>
        <stp>.SPXW240129C4880</stp>
        <tr r="H136" s="7"/>
      </tp>
      <tp t="s">
        <v>C</v>
        <stp/>
        <stp>BX</stp>
        <stp>.SPXW240129C4885</stp>
        <tr r="H137" s="7"/>
      </tp>
      <tp t="s">
        <v>C</v>
        <stp/>
        <stp>BX</stp>
        <stp>.SPXW240129P4880</stp>
        <tr r="N136" s="7"/>
      </tp>
      <tp t="s">
        <v>C</v>
        <stp/>
        <stp>BX</stp>
        <stp>.SPXW240129P4885</stp>
        <tr r="N137" s="7"/>
      </tp>
      <tp t="s">
        <v>C</v>
        <stp/>
        <stp>BX</stp>
        <stp>.SPXW240129C4890</stp>
        <tr r="H138" s="7"/>
      </tp>
      <tp t="s">
        <v>C</v>
        <stp/>
        <stp>BX</stp>
        <stp>.SPXW240129C4895</stp>
        <tr r="H139" s="7"/>
      </tp>
      <tp t="s">
        <v>C</v>
        <stp/>
        <stp>BX</stp>
        <stp>.SPXW240129P4890</stp>
        <tr r="N138" s="7"/>
      </tp>
      <tp t="s">
        <v>C</v>
        <stp/>
        <stp>BX</stp>
        <stp>.SPXW240129P4895</stp>
        <tr r="N139" s="7"/>
      </tp>
      <tp>
        <v>0</v>
        <stp/>
        <stp>DELTA</stp>
        <stp>.SPXW240129P4630</stp>
        <tr r="S86" s="7"/>
      </tp>
      <tp>
        <v>0</v>
        <stp/>
        <stp>DELTA</stp>
        <stp>.SPXW240129P4635</stp>
        <tr r="S87" s="7"/>
      </tp>
      <tp>
        <v>1</v>
        <stp/>
        <stp>DELTA</stp>
        <stp>.SPXW240129C4630</stp>
        <tr r="E86" s="7"/>
      </tp>
      <tp>
        <v>1</v>
        <stp/>
        <stp>DELTA</stp>
        <stp>.SPXW240129C4635</stp>
        <tr r="E87" s="7"/>
      </tp>
      <tp>
        <v>0</v>
        <stp/>
        <stp>DELTA</stp>
        <stp>.SPXW240129P4620</stp>
        <tr r="S84" s="7"/>
      </tp>
      <tp>
        <v>0</v>
        <stp/>
        <stp>DELTA</stp>
        <stp>.SPXW240129P4625</stp>
        <tr r="S85" s="7"/>
      </tp>
      <tp>
        <v>1</v>
        <stp/>
        <stp>DELTA</stp>
        <stp>.SPXW240129C4620</stp>
        <tr r="E84" s="7"/>
      </tp>
      <tp>
        <v>1</v>
        <stp/>
        <stp>DELTA</stp>
        <stp>.SPXW240129C4625</stp>
        <tr r="E85" s="7"/>
      </tp>
      <tp>
        <v>0</v>
        <stp/>
        <stp>DELTA</stp>
        <stp>.SPXW240129P4610</stp>
        <tr r="S82" s="7"/>
      </tp>
      <tp>
        <v>0</v>
        <stp/>
        <stp>DELTA</stp>
        <stp>.SPXW240129P4615</stp>
        <tr r="S83" s="7"/>
      </tp>
      <tp>
        <v>1</v>
        <stp/>
        <stp>DELTA</stp>
        <stp>.SPXW240129C4610</stp>
        <tr r="E82" s="7"/>
      </tp>
      <tp>
        <v>1</v>
        <stp/>
        <stp>DELTA</stp>
        <stp>.SPXW240129C4615</stp>
        <tr r="E83" s="7"/>
      </tp>
      <tp>
        <v>-0.37</v>
        <stp/>
        <stp>DELTA</stp>
        <stp>.SPXW240129P5600</stp>
        <tr r="S184" s="7"/>
      </tp>
      <tp>
        <v>0</v>
        <stp/>
        <stp>DELTA</stp>
        <stp>.SPXW240129P4600</stp>
        <tr r="S80" s="7"/>
      </tp>
      <tp>
        <v>0</v>
        <stp/>
        <stp>DELTA</stp>
        <stp>.SPXW240129P1600</stp>
        <tr r="S12" s="7"/>
      </tp>
      <tp>
        <v>0</v>
        <stp/>
        <stp>DELTA</stp>
        <stp>.SPXW240129P3600</stp>
        <tr r="S23" s="7"/>
      </tp>
      <tp>
        <v>0</v>
        <stp/>
        <stp>DELTA</stp>
        <stp>.SPXW240129P2600</stp>
        <tr r="S17" s="7"/>
      </tp>
      <tp>
        <v>0</v>
        <stp/>
        <stp>DELTA</stp>
        <stp>.SPXW240129P4605</stp>
        <tr r="S81" s="7"/>
      </tp>
      <tp>
        <v>1</v>
        <stp/>
        <stp>DELTA</stp>
        <stp>.SPXW240129C5600</stp>
        <tr r="E184" s="7"/>
      </tp>
      <tp>
        <v>1</v>
        <stp/>
        <stp>DELTA</stp>
        <stp>.SPXW240129C4600</stp>
        <tr r="E80" s="7"/>
      </tp>
      <tp>
        <v>1</v>
        <stp/>
        <stp>DELTA</stp>
        <stp>.SPXW240129C1600</stp>
        <tr r="E12" s="7"/>
      </tp>
      <tp>
        <v>1</v>
        <stp/>
        <stp>DELTA</stp>
        <stp>.SPXW240129C3600</stp>
        <tr r="E23" s="7"/>
      </tp>
      <tp>
        <v>1</v>
        <stp/>
        <stp>DELTA</stp>
        <stp>.SPXW240129C2600</stp>
        <tr r="E17" s="7"/>
      </tp>
      <tp>
        <v>1</v>
        <stp/>
        <stp>DELTA</stp>
        <stp>.SPXW240129C4605</stp>
        <tr r="E81" s="7"/>
      </tp>
      <tp>
        <v>0</v>
        <stp/>
        <stp>DELTA</stp>
        <stp>.SPXW240129P4670</stp>
        <tr r="S94" s="7"/>
      </tp>
      <tp>
        <v>0</v>
        <stp/>
        <stp>DELTA</stp>
        <stp>.SPXW240129P4675</stp>
        <tr r="S95" s="7"/>
      </tp>
      <tp>
        <v>1</v>
        <stp/>
        <stp>DELTA</stp>
        <stp>.SPXW240129C4670</stp>
        <tr r="E94" s="7"/>
      </tp>
      <tp>
        <v>1</v>
        <stp/>
        <stp>DELTA</stp>
        <stp>.SPXW240129C4675</stp>
        <tr r="E95" s="7"/>
      </tp>
      <tp>
        <v>0</v>
        <stp/>
        <stp>DELTA</stp>
        <stp>.SPXW240129P4660</stp>
        <tr r="S92" s="7"/>
      </tp>
      <tp>
        <v>0</v>
        <stp/>
        <stp>DELTA</stp>
        <stp>.SPXW240129P4665</stp>
        <tr r="S93" s="7"/>
      </tp>
      <tp>
        <v>1</v>
        <stp/>
        <stp>DELTA</stp>
        <stp>.SPXW240129C4660</stp>
        <tr r="E92" s="7"/>
      </tp>
      <tp>
        <v>1</v>
        <stp/>
        <stp>DELTA</stp>
        <stp>.SPXW240129C4665</stp>
        <tr r="E93" s="7"/>
      </tp>
      <tp>
        <v>0</v>
        <stp/>
        <stp>DELTA</stp>
        <stp>.SPXW240129P4650</stp>
        <tr r="S90" s="7"/>
      </tp>
      <tp>
        <v>0</v>
        <stp/>
        <stp>DELTA</stp>
        <stp>.SPXW240129P3650</stp>
        <tr r="S24" s="7"/>
      </tp>
      <tp>
        <v>0</v>
        <stp/>
        <stp>DELTA</stp>
        <stp>.SPXW240129P4655</stp>
        <tr r="S91" s="7"/>
      </tp>
      <tp>
        <v>1</v>
        <stp/>
        <stp>DELTA</stp>
        <stp>.SPXW240129C4650</stp>
        <tr r="E90" s="7"/>
      </tp>
      <tp>
        <v>1</v>
        <stp/>
        <stp>DELTA</stp>
        <stp>.SPXW240129C3650</stp>
        <tr r="E24" s="7"/>
      </tp>
      <tp>
        <v>1</v>
        <stp/>
        <stp>DELTA</stp>
        <stp>.SPXW240129C4655</stp>
        <tr r="E91" s="7"/>
      </tp>
      <tp>
        <v>0</v>
        <stp/>
        <stp>DELTA</stp>
        <stp>.SPXW240129P4640</stp>
        <tr r="S88" s="7"/>
      </tp>
      <tp>
        <v>0</v>
        <stp/>
        <stp>DELTA</stp>
        <stp>.SPXW240129P4645</stp>
        <tr r="S89" s="7"/>
      </tp>
      <tp>
        <v>1</v>
        <stp/>
        <stp>DELTA</stp>
        <stp>.SPXW240129C4640</stp>
        <tr r="E88" s="7"/>
      </tp>
      <tp>
        <v>1</v>
        <stp/>
        <stp>DELTA</stp>
        <stp>.SPXW240129C4645</stp>
        <tr r="E89" s="7"/>
      </tp>
      <tp>
        <v>0</v>
        <stp/>
        <stp>DELTA</stp>
        <stp>.SPXW240129P4690</stp>
        <tr r="S98" s="7"/>
      </tp>
      <tp>
        <v>0</v>
        <stp/>
        <stp>DELTA</stp>
        <stp>.SPXW240129P4695</stp>
        <tr r="S99" s="7"/>
      </tp>
      <tp>
        <v>1</v>
        <stp/>
        <stp>DELTA</stp>
        <stp>.SPXW240129C4690</stp>
        <tr r="E98" s="7"/>
      </tp>
      <tp>
        <v>1</v>
        <stp/>
        <stp>DELTA</stp>
        <stp>.SPXW240129C4695</stp>
        <tr r="E99" s="7"/>
      </tp>
      <tp>
        <v>0</v>
        <stp/>
        <stp>DELTA</stp>
        <stp>.SPXW240129P4680</stp>
        <tr r="S96" s="7"/>
      </tp>
      <tp>
        <v>0</v>
        <stp/>
        <stp>DELTA</stp>
        <stp>.SPXW240129P4685</stp>
        <tr r="S97" s="7"/>
      </tp>
      <tp>
        <v>1</v>
        <stp/>
        <stp>DELTA</stp>
        <stp>.SPXW240129C4680</stp>
        <tr r="E96" s="7"/>
      </tp>
      <tp>
        <v>1</v>
        <stp/>
        <stp>DELTA</stp>
        <stp>.SPXW240129C4685</stp>
        <tr r="E97" s="7"/>
      </tp>
      <tp t="s">
        <v>C</v>
        <stp/>
        <stp>BX</stp>
        <stp>.SPXW240129C4920</stp>
        <tr r="H144" s="7"/>
      </tp>
      <tp t="s">
        <v>C</v>
        <stp/>
        <stp>BX</stp>
        <stp>.SPXW240129C4925</stp>
        <tr r="H145" s="7"/>
      </tp>
      <tp t="s">
        <v>C</v>
        <stp/>
        <stp>BX</stp>
        <stp>.SPXW240129P4920</stp>
        <tr r="N144" s="7"/>
      </tp>
      <tp t="s">
        <v>C</v>
        <stp/>
        <stp>BX</stp>
        <stp>.SPXW240129P4925</stp>
        <tr r="N145" s="7"/>
      </tp>
      <tp t="s">
        <v>C</v>
        <stp/>
        <stp>BX</stp>
        <stp>.SPXW240129C4930</stp>
        <tr r="H146" s="7"/>
      </tp>
      <tp t="s">
        <v>C</v>
        <stp/>
        <stp>BX</stp>
        <stp>.SPXW240129C4935</stp>
        <tr r="H147" s="7"/>
      </tp>
      <tp t="s">
        <v>C</v>
        <stp/>
        <stp>BX</stp>
        <stp>.SPXW240129P4930</stp>
        <tr r="N146" s="7"/>
      </tp>
      <tp t="s">
        <v>C</v>
        <stp/>
        <stp>BX</stp>
        <stp>.SPXW240129P4935</stp>
        <tr r="N147" s="7"/>
      </tp>
      <tp t="s">
        <v>C</v>
        <stp/>
        <stp>BX</stp>
        <stp>.SPXW240129C4900</stp>
        <tr r="H140" s="7"/>
      </tp>
      <tp t="s">
        <v>C</v>
        <stp/>
        <stp>BX</stp>
        <stp>.SPXW240129C3900</stp>
        <tr r="H29" s="7"/>
      </tp>
      <tp t="s">
        <v>C</v>
        <stp/>
        <stp>BX</stp>
        <stp>.SPXW240129C4905</stp>
        <tr r="H141" s="7"/>
      </tp>
      <tp t="s">
        <v>C</v>
        <stp/>
        <stp>BX</stp>
        <stp>.SPXW240129P4900</stp>
        <tr r="N140" s="7"/>
      </tp>
      <tp t="s">
        <v>C</v>
        <stp/>
        <stp>BX</stp>
        <stp>.SPXW240129P3900</stp>
        <tr r="N29" s="7"/>
      </tp>
      <tp t="s">
        <v>C</v>
        <stp/>
        <stp>BX</stp>
        <stp>.SPXW240129P4905</stp>
        <tr r="N141" s="7"/>
      </tp>
      <tp t="s">
        <v>C</v>
        <stp/>
        <stp>BX</stp>
        <stp>.SPXW240129C4910</stp>
        <tr r="H142" s="7"/>
      </tp>
      <tp t="s">
        <v>C</v>
        <stp/>
        <stp>BX</stp>
        <stp>.SPXW240129C4915</stp>
        <tr r="H143" s="7"/>
      </tp>
      <tp t="s">
        <v>C</v>
        <stp/>
        <stp>BX</stp>
        <stp>.SPXW240129P4910</stp>
        <tr r="N142" s="7"/>
      </tp>
      <tp t="s">
        <v>C</v>
        <stp/>
        <stp>BX</stp>
        <stp>.SPXW240129P4915</stp>
        <tr r="N143" s="7"/>
      </tp>
      <tp t="s">
        <v>C</v>
        <stp/>
        <stp>BX</stp>
        <stp>.SPXW240129C4960</stp>
        <tr r="H152" s="7"/>
      </tp>
      <tp t="s">
        <v>C</v>
        <stp/>
        <stp>BX</stp>
        <stp>.SPXW240129C4965</stp>
        <tr r="H153" s="7"/>
      </tp>
      <tp t="s">
        <v>C</v>
        <stp/>
        <stp>BX</stp>
        <stp>.SPXW240129P4960</stp>
        <tr r="N152" s="7"/>
      </tp>
      <tp t="s">
        <v>C</v>
        <stp/>
        <stp>BX</stp>
        <stp>.SPXW240129P4965</stp>
        <tr r="N153" s="7"/>
      </tp>
      <tp t="s">
        <v>C</v>
        <stp/>
        <stp>BX</stp>
        <stp>.SPXW240129C4970</stp>
        <tr r="H154" s="7"/>
      </tp>
      <tp t="s">
        <v>C</v>
        <stp/>
        <stp>BX</stp>
        <stp>.SPXW240129C4975</stp>
        <tr r="H155" s="7"/>
      </tp>
      <tp t="s">
        <v>C</v>
        <stp/>
        <stp>BX</stp>
        <stp>.SPXW240129P4970</stp>
        <tr r="N154" s="7"/>
      </tp>
      <tp t="s">
        <v>C</v>
        <stp/>
        <stp>BX</stp>
        <stp>.SPXW240129P4975</stp>
        <tr r="N155" s="7"/>
      </tp>
      <tp t="s">
        <v>C</v>
        <stp/>
        <stp>BX</stp>
        <stp>.SPXW240129C4940</stp>
        <tr r="H148" s="7"/>
      </tp>
      <tp t="s">
        <v>C</v>
        <stp/>
        <stp>BX</stp>
        <stp>.SPXW240129C4945</stp>
        <tr r="H149" s="7"/>
      </tp>
      <tp t="s">
        <v>C</v>
        <stp/>
        <stp>BX</stp>
        <stp>.SPXW240129P4940</stp>
        <tr r="N148" s="7"/>
      </tp>
      <tp t="s">
        <v>C</v>
        <stp/>
        <stp>BX</stp>
        <stp>.SPXW240129P4945</stp>
        <tr r="N149" s="7"/>
      </tp>
      <tp t="s">
        <v>C</v>
        <stp/>
        <stp>BX</stp>
        <stp>.SPXW240129C4950</stp>
        <tr r="H150" s="7"/>
      </tp>
      <tp t="s">
        <v>C</v>
        <stp/>
        <stp>BX</stp>
        <stp>.SPXW240129C3950</stp>
        <tr r="H30" s="7"/>
      </tp>
      <tp t="s">
        <v>C</v>
        <stp/>
        <stp>BX</stp>
        <stp>.SPXW240129C4955</stp>
        <tr r="H151" s="7"/>
      </tp>
      <tp t="s">
        <v>C</v>
        <stp/>
        <stp>BX</stp>
        <stp>.SPXW240129P4950</stp>
        <tr r="N150" s="7"/>
      </tp>
      <tp t="s">
        <v>C</v>
        <stp/>
        <stp>BX</stp>
        <stp>.SPXW240129P3950</stp>
        <tr r="N30" s="7"/>
      </tp>
      <tp t="s">
        <v>C</v>
        <stp/>
        <stp>BX</stp>
        <stp>.SPXW240129P4955</stp>
        <tr r="N151" s="7"/>
      </tp>
      <tp t="s">
        <v>C</v>
        <stp/>
        <stp>BX</stp>
        <stp>.SPXW240129C4980</stp>
        <tr r="H156" s="7"/>
      </tp>
      <tp t="s">
        <v>C</v>
        <stp/>
        <stp>BX</stp>
        <stp>.SPXW240129C4985</stp>
        <tr r="H157" s="7"/>
      </tp>
      <tp t="s">
        <v>C</v>
        <stp/>
        <stp>BX</stp>
        <stp>.SPXW240129P4980</stp>
        <tr r="N156" s="7"/>
      </tp>
      <tp t="s">
        <v>C</v>
        <stp/>
        <stp>BX</stp>
        <stp>.SPXW240129P4985</stp>
        <tr r="N157" s="7"/>
      </tp>
      <tp t="s">
        <v>C</v>
        <stp/>
        <stp>BX</stp>
        <stp>.SPXW240129C4990</stp>
        <tr r="H158" s="7"/>
      </tp>
      <tp t="s">
        <v>C</v>
        <stp/>
        <stp>BX</stp>
        <stp>.SPXW240129C4995</stp>
        <tr r="H159" s="7"/>
      </tp>
      <tp t="s">
        <v>C</v>
        <stp/>
        <stp>BX</stp>
        <stp>.SPXW240129P4990</stp>
        <tr r="N158" s="7"/>
      </tp>
      <tp t="s">
        <v>C</v>
        <stp/>
        <stp>BX</stp>
        <stp>.SPXW240129P4995</stp>
        <tr r="N159" s="7"/>
      </tp>
      <tp>
        <v>0</v>
        <stp/>
        <stp>DELTA</stp>
        <stp>.SPXW240129P4730</stp>
        <tr r="S106" s="7"/>
      </tp>
      <tp>
        <v>0</v>
        <stp/>
        <stp>DELTA</stp>
        <stp>.SPXW240129P4735</stp>
        <tr r="S107" s="7"/>
      </tp>
      <tp>
        <v>1</v>
        <stp/>
        <stp>DELTA</stp>
        <stp>.SPXW240129C4730</stp>
        <tr r="E106" s="7"/>
      </tp>
      <tp>
        <v>1</v>
        <stp/>
        <stp>DELTA</stp>
        <stp>.SPXW240129C4735</stp>
        <tr r="E107" s="7"/>
      </tp>
      <tp>
        <v>0</v>
        <stp/>
        <stp>DELTA</stp>
        <stp>.SPXW240129P4720</stp>
        <tr r="S104" s="7"/>
      </tp>
      <tp>
        <v>0</v>
        <stp/>
        <stp>DELTA</stp>
        <stp>.SPXW240129P4725</stp>
        <tr r="S105" s="7"/>
      </tp>
      <tp>
        <v>1</v>
        <stp/>
        <stp>DELTA</stp>
        <stp>.SPXW240129C4720</stp>
        <tr r="E104" s="7"/>
      </tp>
      <tp>
        <v>1</v>
        <stp/>
        <stp>DELTA</stp>
        <stp>.SPXW240129C4725</stp>
        <tr r="E105" s="7"/>
      </tp>
      <tp>
        <v>0</v>
        <stp/>
        <stp>DELTA</stp>
        <stp>.SPXW240129P4710</stp>
        <tr r="S102" s="7"/>
      </tp>
      <tp>
        <v>0</v>
        <stp/>
        <stp>DELTA</stp>
        <stp>.SPXW240129P4715</stp>
        <tr r="S103" s="7"/>
      </tp>
      <tp>
        <v>1</v>
        <stp/>
        <stp>DELTA</stp>
        <stp>.SPXW240129C4710</stp>
        <tr r="E102" s="7"/>
      </tp>
      <tp>
        <v>1</v>
        <stp/>
        <stp>DELTA</stp>
        <stp>.SPXW240129C4715</stp>
        <tr r="E103" s="7"/>
      </tp>
      <tp>
        <v>0</v>
        <stp/>
        <stp>DELTA</stp>
        <stp>.SPXW240129P4700</stp>
        <tr r="S100" s="7"/>
      </tp>
      <tp>
        <v>0</v>
        <stp/>
        <stp>DELTA</stp>
        <stp>.SPXW240129P3700</stp>
        <tr r="S25" s="7"/>
      </tp>
      <tp>
        <v>0</v>
        <stp/>
        <stp>DELTA</stp>
        <stp>.SPXW240129P4705</stp>
        <tr r="S101" s="7"/>
      </tp>
      <tp>
        <v>1</v>
        <stp/>
        <stp>DELTA</stp>
        <stp>.SPXW240129C4700</stp>
        <tr r="E100" s="7"/>
      </tp>
      <tp>
        <v>1</v>
        <stp/>
        <stp>DELTA</stp>
        <stp>.SPXW240129C3700</stp>
        <tr r="E25" s="7"/>
      </tp>
      <tp>
        <v>1</v>
        <stp/>
        <stp>DELTA</stp>
        <stp>.SPXW240129C4705</stp>
        <tr r="E101" s="7"/>
      </tp>
      <tp>
        <v>0</v>
        <stp/>
        <stp>DELTA</stp>
        <stp>.SPXW240129P4770</stp>
        <tr r="S114" s="7"/>
      </tp>
      <tp>
        <v>0</v>
        <stp/>
        <stp>DELTA</stp>
        <stp>.SPXW240129P4775</stp>
        <tr r="S115" s="7"/>
      </tp>
      <tp>
        <v>1</v>
        <stp/>
        <stp>DELTA</stp>
        <stp>.SPXW240129C4770</stp>
        <tr r="E114" s="7"/>
      </tp>
      <tp>
        <v>1</v>
        <stp/>
        <stp>DELTA</stp>
        <stp>.SPXW240129C4775</stp>
        <tr r="E115" s="7"/>
      </tp>
      <tp>
        <v>0</v>
        <stp/>
        <stp>DELTA</stp>
        <stp>.SPXW240129P4760</stp>
        <tr r="S112" s="7"/>
      </tp>
      <tp>
        <v>0</v>
        <stp/>
        <stp>DELTA</stp>
        <stp>.SPXW240129P4765</stp>
        <tr r="S113" s="7"/>
      </tp>
      <tp>
        <v>1</v>
        <stp/>
        <stp>DELTA</stp>
        <stp>.SPXW240129C4760</stp>
        <tr r="E112" s="7"/>
      </tp>
      <tp>
        <v>1</v>
        <stp/>
        <stp>DELTA</stp>
        <stp>.SPXW240129C4765</stp>
        <tr r="E113" s="7"/>
      </tp>
      <tp>
        <v>0</v>
        <stp/>
        <stp>DELTA</stp>
        <stp>.SPXW240129P4750</stp>
        <tr r="S110" s="7"/>
      </tp>
      <tp>
        <v>0</v>
        <stp/>
        <stp>DELTA</stp>
        <stp>.SPXW240129P3750</stp>
        <tr r="S26" s="7"/>
      </tp>
      <tp>
        <v>0</v>
        <stp/>
        <stp>DELTA</stp>
        <stp>.SPXW240129P4755</stp>
        <tr r="S111" s="7"/>
      </tp>
      <tp>
        <v>1</v>
        <stp/>
        <stp>DELTA</stp>
        <stp>.SPXW240129C4750</stp>
        <tr r="E110" s="7"/>
      </tp>
      <tp>
        <v>1</v>
        <stp/>
        <stp>DELTA</stp>
        <stp>.SPXW240129C3750</stp>
        <tr r="E26" s="7"/>
      </tp>
      <tp>
        <v>1</v>
        <stp/>
        <stp>DELTA</stp>
        <stp>.SPXW240129C4755</stp>
        <tr r="E111" s="7"/>
      </tp>
      <tp>
        <v>0</v>
        <stp/>
        <stp>DELTA</stp>
        <stp>.SPXW240129P4740</stp>
        <tr r="S108" s="7"/>
      </tp>
      <tp>
        <v>0</v>
        <stp/>
        <stp>DELTA</stp>
        <stp>.SPXW240129P4745</stp>
        <tr r="S109" s="7"/>
      </tp>
      <tp>
        <v>1</v>
        <stp/>
        <stp>DELTA</stp>
        <stp>.SPXW240129C4740</stp>
        <tr r="E108" s="7"/>
      </tp>
      <tp>
        <v>1</v>
        <stp/>
        <stp>DELTA</stp>
        <stp>.SPXW240129C4745</stp>
        <tr r="E109" s="7"/>
      </tp>
      <tp>
        <v>0</v>
        <stp/>
        <stp>DELTA</stp>
        <stp>.SPXW240129P4790</stp>
        <tr r="S118" s="7"/>
      </tp>
      <tp>
        <v>0</v>
        <stp/>
        <stp>DELTA</stp>
        <stp>.SPXW240129P4795</stp>
        <tr r="S119" s="7"/>
      </tp>
      <tp>
        <v>1</v>
        <stp/>
        <stp>DELTA</stp>
        <stp>.SPXW240129C4790</stp>
        <tr r="E118" s="7"/>
      </tp>
      <tp>
        <v>1</v>
        <stp/>
        <stp>DELTA</stp>
        <stp>.SPXW240129C4795</stp>
        <tr r="E119" s="7"/>
      </tp>
      <tp>
        <v>0</v>
        <stp/>
        <stp>DELTA</stp>
        <stp>.SPXW240129P4780</stp>
        <tr r="S116" s="7"/>
      </tp>
      <tp>
        <v>0</v>
        <stp/>
        <stp>DELTA</stp>
        <stp>.SPXW240129P4785</stp>
        <tr r="S117" s="7"/>
      </tp>
      <tp>
        <v>1</v>
        <stp/>
        <stp>DELTA</stp>
        <stp>.SPXW240129C4780</stp>
        <tr r="E116" s="7"/>
      </tp>
      <tp>
        <v>1</v>
        <stp/>
        <stp>DELTA</stp>
        <stp>.SPXW240129C4785</stp>
        <tr r="E117" s="7"/>
      </tp>
      <tp>
        <v>21.8</v>
        <stp/>
        <stp>BID</stp>
        <stp>.SPXW240129C4905</stp>
        <tr r="G141" s="7"/>
      </tp>
      <tp>
        <v>1019.3</v>
        <stp/>
        <stp>BID</stp>
        <stp>.SPXW240129C3900</stp>
        <tr r="G29" s="7"/>
      </tp>
      <tp>
        <v>26.1</v>
        <stp/>
        <stp>BID</stp>
        <stp>.SPXW240129C4900</stp>
        <tr r="G140" s="7"/>
      </tp>
      <tp>
        <v>0</v>
        <stp/>
        <stp>BID</stp>
        <stp>.SPXW240129P4905</stp>
        <tr r="M141" s="7"/>
      </tp>
      <tp>
        <v>0</v>
        <stp/>
        <stp>BID</stp>
        <stp>.SPXW240129P3900</stp>
        <tr r="M29" s="7"/>
      </tp>
      <tp>
        <v>0</v>
        <stp/>
        <stp>BID</stp>
        <stp>.SPXW240129P4900</stp>
        <tr r="M140" s="7"/>
      </tp>
      <tp>
        <v>12</v>
        <stp/>
        <stp>BID</stp>
        <stp>.SPXW240129C4915</stp>
        <tr r="G143" s="7"/>
      </tp>
      <tp>
        <v>15.1</v>
        <stp/>
        <stp>BID</stp>
        <stp>.SPXW240129C4910</stp>
        <tr r="G142" s="7"/>
      </tp>
      <tp>
        <v>0</v>
        <stp/>
        <stp>BID</stp>
        <stp>.SPXW240129P4915</stp>
        <tr r="M143" s="7"/>
      </tp>
      <tp>
        <v>0</v>
        <stp/>
        <stp>BID</stp>
        <stp>.SPXW240129P4910</stp>
        <tr r="M142" s="7"/>
      </tp>
      <tp>
        <v>2.2999999999999998</v>
        <stp/>
        <stp>BID</stp>
        <stp>.SPXW240129C4925</stp>
        <tr r="G145" s="7"/>
      </tp>
      <tp>
        <v>7.3</v>
        <stp/>
        <stp>BID</stp>
        <stp>.SPXW240129C4920</stp>
        <tr r="G144" s="7"/>
      </tp>
      <tp>
        <v>0.05</v>
        <stp/>
        <stp>BID</stp>
        <stp>.SPXW240129P4925</stp>
        <tr r="M145" s="7"/>
      </tp>
      <tp>
        <v>0</v>
        <stp/>
        <stp>BID</stp>
        <stp>.SPXW240129P4920</stp>
        <tr r="M144" s="7"/>
      </tp>
      <tp>
        <v>0</v>
        <stp/>
        <stp>BID</stp>
        <stp>.SPXW240129C4935</stp>
        <tr r="G147" s="7"/>
      </tp>
      <tp>
        <v>0</v>
        <stp/>
        <stp>BID</stp>
        <stp>.SPXW240129C4930</stp>
        <tr r="G146" s="7"/>
      </tp>
      <tp>
        <v>6.2</v>
        <stp/>
        <stp>BID</stp>
        <stp>.SPXW240129P4935</stp>
        <tr r="M147" s="7"/>
      </tp>
      <tp>
        <v>1.6</v>
        <stp/>
        <stp>BID</stp>
        <stp>.SPXW240129P4930</stp>
        <tr r="M146" s="7"/>
      </tp>
      <tp>
        <v>0</v>
        <stp/>
        <stp>BID</stp>
        <stp>.SPXW240129C4945</stp>
        <tr r="G149" s="7"/>
      </tp>
      <tp>
        <v>0</v>
        <stp/>
        <stp>BID</stp>
        <stp>.SPXW240129C4940</stp>
        <tr r="G148" s="7"/>
      </tp>
      <tp>
        <v>13.6</v>
        <stp/>
        <stp>BID</stp>
        <stp>.SPXW240129P4945</stp>
        <tr r="M149" s="7"/>
      </tp>
      <tp>
        <v>11</v>
        <stp/>
        <stp>BID</stp>
        <stp>.SPXW240129P4940</stp>
        <tr r="M148" s="7"/>
      </tp>
      <tp>
        <v>0</v>
        <stp/>
        <stp>BID</stp>
        <stp>.SPXW240129C4955</stp>
        <tr r="G151" s="7"/>
      </tp>
      <tp>
        <v>969.3</v>
        <stp/>
        <stp>BID</stp>
        <stp>.SPXW240129C3950</stp>
        <tr r="G30" s="7"/>
      </tp>
      <tp>
        <v>0</v>
        <stp/>
        <stp>BID</stp>
        <stp>.SPXW240129C4950</stp>
        <tr r="G150" s="7"/>
      </tp>
      <tp>
        <v>23.6</v>
        <stp/>
        <stp>BID</stp>
        <stp>.SPXW240129P4955</stp>
        <tr r="M151" s="7"/>
      </tp>
      <tp>
        <v>0</v>
        <stp/>
        <stp>BID</stp>
        <stp>.SPXW240129P3950</stp>
        <tr r="M30" s="7"/>
      </tp>
      <tp>
        <v>18.600000000000001</v>
        <stp/>
        <stp>BID</stp>
        <stp>.SPXW240129P4950</stp>
        <tr r="M150" s="7"/>
      </tp>
      <tp>
        <v>0</v>
        <stp/>
        <stp>BID</stp>
        <stp>.SPXW240129C4965</stp>
        <tr r="G153" s="7"/>
      </tp>
      <tp>
        <v>0</v>
        <stp/>
        <stp>BID</stp>
        <stp>.SPXW240129C4960</stp>
        <tr r="G152" s="7"/>
      </tp>
      <tp>
        <v>33.6</v>
        <stp/>
        <stp>BID</stp>
        <stp>.SPXW240129P4965</stp>
        <tr r="M153" s="7"/>
      </tp>
      <tp>
        <v>28.6</v>
        <stp/>
        <stp>BID</stp>
        <stp>.SPXW240129P4960</stp>
        <tr r="M152" s="7"/>
      </tp>
      <tp>
        <v>0</v>
        <stp/>
        <stp>BID</stp>
        <stp>.SPXW240129C4975</stp>
        <tr r="G155" s="7"/>
      </tp>
      <tp>
        <v>0</v>
        <stp/>
        <stp>BID</stp>
        <stp>.SPXW240129C4970</stp>
        <tr r="G154" s="7"/>
      </tp>
      <tp>
        <v>43.6</v>
        <stp/>
        <stp>BID</stp>
        <stp>.SPXW240129P4975</stp>
        <tr r="M155" s="7"/>
      </tp>
      <tp>
        <v>38.6</v>
        <stp/>
        <stp>BID</stp>
        <stp>.SPXW240129P4970</stp>
        <tr r="M154" s="7"/>
      </tp>
      <tp>
        <v>0</v>
        <stp/>
        <stp>BID</stp>
        <stp>.SPXW240129C4985</stp>
        <tr r="G157" s="7"/>
      </tp>
      <tp>
        <v>0</v>
        <stp/>
        <stp>BID</stp>
        <stp>.SPXW240129C4980</stp>
        <tr r="G156" s="7"/>
      </tp>
      <tp>
        <v>53.6</v>
        <stp/>
        <stp>BID</stp>
        <stp>.SPXW240129P4985</stp>
        <tr r="M157" s="7"/>
      </tp>
      <tp>
        <v>48.6</v>
        <stp/>
        <stp>BID</stp>
        <stp>.SPXW240129P4980</stp>
        <tr r="M156" s="7"/>
      </tp>
      <tp>
        <v>0</v>
        <stp/>
        <stp>BID</stp>
        <stp>.SPXW240129C4995</stp>
        <tr r="G159" s="7"/>
      </tp>
      <tp>
        <v>0</v>
        <stp/>
        <stp>BID</stp>
        <stp>.SPXW240129C4990</stp>
        <tr r="G158" s="7"/>
      </tp>
      <tp>
        <v>63.6</v>
        <stp/>
        <stp>BID</stp>
        <stp>.SPXW240129P4995</stp>
        <tr r="M159" s="7"/>
      </tp>
      <tp>
        <v>58.6</v>
        <stp/>
        <stp>BID</stp>
        <stp>.SPXW240129P4990</stp>
        <tr r="M158" s="7"/>
      </tp>
      <tp>
        <v>-0.16</v>
        <stp/>
        <stp>DELTA</stp>
        <stp>.SPXW240129P5030</stp>
        <tr r="S166" s="7"/>
      </tp>
      <tp>
        <v>-0.17</v>
        <stp/>
        <stp>DELTA</stp>
        <stp>.SPXW240129P5035</stp>
        <tr r="S167" s="7"/>
      </tp>
      <tp>
        <v>1</v>
        <stp/>
        <stp>DELTA</stp>
        <stp>.SPXW240129C5030</stp>
        <tr r="E166" s="7"/>
      </tp>
      <tp>
        <v>1</v>
        <stp/>
        <stp>DELTA</stp>
        <stp>.SPXW240129C5035</stp>
        <tr r="E167" s="7"/>
      </tp>
      <tp>
        <v>-0.15</v>
        <stp/>
        <stp>DELTA</stp>
        <stp>.SPXW240129P5020</stp>
        <tr r="S164" s="7"/>
      </tp>
      <tp>
        <v>-0.16</v>
        <stp/>
        <stp>DELTA</stp>
        <stp>.SPXW240129P5025</stp>
        <tr r="S165" s="7"/>
      </tp>
      <tp>
        <v>1</v>
        <stp/>
        <stp>DELTA</stp>
        <stp>.SPXW240129C5020</stp>
        <tr r="E164" s="7"/>
      </tp>
      <tp>
        <v>1</v>
        <stp/>
        <stp>DELTA</stp>
        <stp>.SPXW240129C5025</stp>
        <tr r="E165" s="7"/>
      </tp>
      <tp>
        <v>-0.15</v>
        <stp/>
        <stp>DELTA</stp>
        <stp>.SPXW240129P5010</stp>
        <tr r="S162" s="7"/>
      </tp>
      <tp>
        <v>-0.15</v>
        <stp/>
        <stp>DELTA</stp>
        <stp>.SPXW240129P5015</stp>
        <tr r="S163" s="7"/>
      </tp>
      <tp>
        <v>1</v>
        <stp/>
        <stp>DELTA</stp>
        <stp>.SPXW240129C5010</stp>
        <tr r="E162" s="7"/>
      </tp>
      <tp>
        <v>1</v>
        <stp/>
        <stp>DELTA</stp>
        <stp>.SPXW240129C5015</stp>
        <tr r="E163" s="7"/>
      </tp>
      <tp>
        <v>-0.14000000000000001</v>
        <stp/>
        <stp>DELTA</stp>
        <stp>.SPXW240129P5000</stp>
        <tr r="S160" s="7"/>
      </tp>
      <tp>
        <v>0</v>
        <stp/>
        <stp>DELTA</stp>
        <stp>.SPXW240129P4000</stp>
        <tr r="S31" s="7"/>
      </tp>
      <tp>
        <v>-0.43</v>
        <stp/>
        <stp>DELTA</stp>
        <stp>.SPXW240129P6000</stp>
        <tr r="S186" s="7"/>
      </tp>
      <tp>
        <v>0</v>
        <stp/>
        <stp>DELTA</stp>
        <stp>.SPXW240129P3000</stp>
        <tr r="S19" s="7"/>
      </tp>
      <tp>
        <v>0</v>
        <stp/>
        <stp>DELTA</stp>
        <stp>.SPXW240129P2000</stp>
        <tr r="S14" s="7"/>
      </tp>
      <tp>
        <v>-0.14000000000000001</v>
        <stp/>
        <stp>DELTA</stp>
        <stp>.SPXW240129P5005</stp>
        <tr r="S161" s="7"/>
      </tp>
      <tp>
        <v>1</v>
        <stp/>
        <stp>DELTA</stp>
        <stp>.SPXW240129C5000</stp>
        <tr r="E160" s="7"/>
      </tp>
      <tp>
        <v>1</v>
        <stp/>
        <stp>DELTA</stp>
        <stp>.SPXW240129C4000</stp>
        <tr r="E31" s="7"/>
      </tp>
      <tp>
        <v>0</v>
        <stp/>
        <stp>DELTA</stp>
        <stp>.SPXW240129C6000</stp>
        <tr r="E186" s="7"/>
      </tp>
      <tp>
        <v>1</v>
        <stp/>
        <stp>DELTA</stp>
        <stp>.SPXW240129C3000</stp>
        <tr r="E19" s="7"/>
      </tp>
      <tp>
        <v>1</v>
        <stp/>
        <stp>DELTA</stp>
        <stp>.SPXW240129C2000</stp>
        <tr r="E14" s="7"/>
      </tp>
      <tp>
        <v>1</v>
        <stp/>
        <stp>DELTA</stp>
        <stp>.SPXW240129C5005</stp>
        <tr r="E161" s="7"/>
      </tp>
      <tp>
        <v>-0.19</v>
        <stp/>
        <stp>DELTA</stp>
        <stp>.SPXW240129P5070</stp>
        <tr r="S171" s="7"/>
      </tp>
      <tp>
        <v>-0.2</v>
        <stp/>
        <stp>DELTA</stp>
        <stp>.SPXW240129P5075</stp>
        <tr r="S172" s="7"/>
      </tp>
      <tp>
        <v>1</v>
        <stp/>
        <stp>DELTA</stp>
        <stp>.SPXW240129C5070</stp>
        <tr r="E171" s="7"/>
      </tp>
      <tp>
        <v>1</v>
        <stp/>
        <stp>DELTA</stp>
        <stp>.SPXW240129C5075</stp>
        <tr r="E172" s="7"/>
      </tp>
      <tp>
        <v>-0.19</v>
        <stp/>
        <stp>DELTA</stp>
        <stp>.SPXW240129P5060</stp>
        <tr r="S170" s="7"/>
      </tp>
      <tp>
        <v>1</v>
        <stp/>
        <stp>DELTA</stp>
        <stp>.SPXW240129C5060</stp>
        <tr r="E170" s="7"/>
      </tp>
      <tp>
        <v>-0.18</v>
        <stp/>
        <stp>DELTA</stp>
        <stp>.SPXW240129P5050</stp>
        <tr r="S169" s="7"/>
      </tp>
      <tp>
        <v>0</v>
        <stp/>
        <stp>DELTA</stp>
        <stp>.SPXW240129P4050</stp>
        <tr r="S32" s="7"/>
      </tp>
      <tp>
        <v>1</v>
        <stp/>
        <stp>DELTA</stp>
        <stp>.SPXW240129C5050</stp>
        <tr r="E169" s="7"/>
      </tp>
      <tp>
        <v>1</v>
        <stp/>
        <stp>DELTA</stp>
        <stp>.SPXW240129C4050</stp>
        <tr r="E32" s="7"/>
      </tp>
      <tp>
        <v>-0.17</v>
        <stp/>
        <stp>DELTA</stp>
        <stp>.SPXW240129P5040</stp>
        <tr r="S168" s="7"/>
      </tp>
      <tp>
        <v>1</v>
        <stp/>
        <stp>DELTA</stp>
        <stp>.SPXW240129C5040</stp>
        <tr r="E168" s="7"/>
      </tp>
      <tp>
        <v>-0.2</v>
        <stp/>
        <stp>DELTA</stp>
        <stp>.SPXW240129P5080</stp>
        <tr r="S173" s="7"/>
      </tp>
      <tp>
        <v>1</v>
        <stp/>
        <stp>DELTA</stp>
        <stp>.SPXW240129C5080</stp>
        <tr r="E173" s="7"/>
      </tp>
      <tp>
        <v>117.3</v>
        <stp/>
        <stp>BID</stp>
        <stp>.SPXW240129C4805</stp>
        <tr r="G121" s="7"/>
      </tp>
      <tp>
        <v>3119.3</v>
        <stp/>
        <stp>BID</stp>
        <stp>.SPXW240129C1800</stp>
        <tr r="G13" s="7"/>
      </tp>
      <tp>
        <v>1119.3</v>
        <stp/>
        <stp>BID</stp>
        <stp>.SPXW240129C3800</stp>
        <tr r="G27" s="7"/>
      </tp>
      <tp>
        <v>2119.3000000000002</v>
        <stp/>
        <stp>BID</stp>
        <stp>.SPXW240129C2800</stp>
        <tr r="G18" s="7"/>
      </tp>
      <tp>
        <v>0</v>
        <stp/>
        <stp>BID</stp>
        <stp>.SPXW240129C5800</stp>
        <tr r="G185" s="7"/>
      </tp>
      <tp>
        <v>122.3</v>
        <stp/>
        <stp>BID</stp>
        <stp>.SPXW240129C4800</stp>
        <tr r="G120" s="7"/>
      </tp>
      <tp>
        <v>0</v>
        <stp/>
        <stp>BID</stp>
        <stp>.SPXW240129P4805</stp>
        <tr r="M121" s="7"/>
      </tp>
      <tp>
        <v>0</v>
        <stp/>
        <stp>BID</stp>
        <stp>.SPXW240129P1800</stp>
        <tr r="M13" s="7"/>
      </tp>
      <tp>
        <v>0</v>
        <stp/>
        <stp>BID</stp>
        <stp>.SPXW240129P3800</stp>
        <tr r="M27" s="7"/>
      </tp>
      <tp>
        <v>0</v>
        <stp/>
        <stp>BID</stp>
        <stp>.SPXW240129P2800</stp>
        <tr r="M18" s="7"/>
      </tp>
      <tp>
        <v>862.3</v>
        <stp/>
        <stp>BID</stp>
        <stp>.SPXW240129P5800</stp>
        <tr r="M185" s="7"/>
      </tp>
      <tp>
        <v>0</v>
        <stp/>
        <stp>BID</stp>
        <stp>.SPXW240129P4800</stp>
        <tr r="M120" s="7"/>
      </tp>
      <tp>
        <v>107.3</v>
        <stp/>
        <stp>BID</stp>
        <stp>.SPXW240129C4815</stp>
        <tr r="G123" s="7"/>
      </tp>
      <tp>
        <v>112.6</v>
        <stp/>
        <stp>BID</stp>
        <stp>.SPXW240129C4810</stp>
        <tr r="G122" s="7"/>
      </tp>
      <tp>
        <v>0</v>
        <stp/>
        <stp>BID</stp>
        <stp>.SPXW240129P4815</stp>
        <tr r="M123" s="7"/>
      </tp>
      <tp>
        <v>0</v>
        <stp/>
        <stp>BID</stp>
        <stp>.SPXW240129P4810</stp>
        <tr r="M122" s="7"/>
      </tp>
      <tp>
        <v>99.9</v>
        <stp/>
        <stp>BID</stp>
        <stp>.SPXW240129C4825</stp>
        <tr r="G125" s="7"/>
      </tp>
      <tp>
        <v>106.2</v>
        <stp/>
        <stp>BID</stp>
        <stp>.SPXW240129C4820</stp>
        <tr r="G124" s="7"/>
      </tp>
      <tp>
        <v>0</v>
        <stp/>
        <stp>BID</stp>
        <stp>.SPXW240129P4825</stp>
        <tr r="M125" s="7"/>
      </tp>
      <tp>
        <v>0</v>
        <stp/>
        <stp>BID</stp>
        <stp>.SPXW240129P4820</stp>
        <tr r="M124" s="7"/>
      </tp>
      <tp>
        <v>90.1</v>
        <stp/>
        <stp>BID</stp>
        <stp>.SPXW240129C4835</stp>
        <tr r="G127" s="7"/>
      </tp>
      <tp>
        <v>94.9</v>
        <stp/>
        <stp>BID</stp>
        <stp>.SPXW240129C4830</stp>
        <tr r="G126" s="7"/>
      </tp>
      <tp>
        <v>0</v>
        <stp/>
        <stp>BID</stp>
        <stp>.SPXW240129P4835</stp>
        <tr r="M127" s="7"/>
      </tp>
      <tp>
        <v>0</v>
        <stp/>
        <stp>BID</stp>
        <stp>.SPXW240129P4830</stp>
        <tr r="M126" s="7"/>
      </tp>
      <tp>
        <v>80.099999999999994</v>
        <stp/>
        <stp>BID</stp>
        <stp>.SPXW240129C4845</stp>
        <tr r="G129" s="7"/>
      </tp>
      <tp>
        <v>85.1</v>
        <stp/>
        <stp>BID</stp>
        <stp>.SPXW240129C4840</stp>
        <tr r="G128" s="7"/>
      </tp>
      <tp>
        <v>0</v>
        <stp/>
        <stp>BID</stp>
        <stp>.SPXW240129P4845</stp>
        <tr r="M129" s="7"/>
      </tp>
      <tp>
        <v>0</v>
        <stp/>
        <stp>BID</stp>
        <stp>.SPXW240129P4840</stp>
        <tr r="M128" s="7"/>
      </tp>
      <tp>
        <v>70.099999999999994</v>
        <stp/>
        <stp>BID</stp>
        <stp>.SPXW240129C4855</stp>
        <tr r="G131" s="7"/>
      </tp>
      <tp>
        <v>1069.3</v>
        <stp/>
        <stp>BID</stp>
        <stp>.SPXW240129C3850</stp>
        <tr r="G28" s="7"/>
      </tp>
      <tp>
        <v>75.099999999999994</v>
        <stp/>
        <stp>BID</stp>
        <stp>.SPXW240129C4850</stp>
        <tr r="G130" s="7"/>
      </tp>
      <tp>
        <v>0</v>
        <stp/>
        <stp>BID</stp>
        <stp>.SPXW240129P4855</stp>
        <tr r="M131" s="7"/>
      </tp>
      <tp>
        <v>0</v>
        <stp/>
        <stp>BID</stp>
        <stp>.SPXW240129P3850</stp>
        <tr r="M28" s="7"/>
      </tp>
      <tp>
        <v>0</v>
        <stp/>
        <stp>BID</stp>
        <stp>.SPXW240129P4850</stp>
        <tr r="M130" s="7"/>
      </tp>
      <tp>
        <v>60.1</v>
        <stp/>
        <stp>BID</stp>
        <stp>.SPXW240129C4865</stp>
        <tr r="G133" s="7"/>
      </tp>
      <tp>
        <v>65.099999999999994</v>
        <stp/>
        <stp>BID</stp>
        <stp>.SPXW240129C4860</stp>
        <tr r="G132" s="7"/>
      </tp>
      <tp>
        <v>0</v>
        <stp/>
        <stp>BID</stp>
        <stp>.SPXW240129P4865</stp>
        <tr r="M133" s="7"/>
      </tp>
      <tp>
        <v>0</v>
        <stp/>
        <stp>BID</stp>
        <stp>.SPXW240129P4860</stp>
        <tr r="M132" s="7"/>
      </tp>
      <tp>
        <v>50.1</v>
        <stp/>
        <stp>BID</stp>
        <stp>.SPXW240129C4875</stp>
        <tr r="G135" s="7"/>
      </tp>
      <tp>
        <v>55.1</v>
        <stp/>
        <stp>BID</stp>
        <stp>.SPXW240129C4870</stp>
        <tr r="G134" s="7"/>
      </tp>
      <tp>
        <v>0</v>
        <stp/>
        <stp>BID</stp>
        <stp>.SPXW240129P4875</stp>
        <tr r="M135" s="7"/>
      </tp>
      <tp>
        <v>0</v>
        <stp/>
        <stp>BID</stp>
        <stp>.SPXW240129P4870</stp>
        <tr r="M134" s="7"/>
      </tp>
      <tp>
        <v>40.1</v>
        <stp/>
        <stp>BID</stp>
        <stp>.SPXW240129C4885</stp>
        <tr r="G137" s="7"/>
      </tp>
      <tp>
        <v>45.1</v>
        <stp/>
        <stp>BID</stp>
        <stp>.SPXW240129C4880</stp>
        <tr r="G136" s="7"/>
      </tp>
      <tp>
        <v>0</v>
        <stp/>
        <stp>BID</stp>
        <stp>.SPXW240129P4885</stp>
        <tr r="M137" s="7"/>
      </tp>
      <tp>
        <v>0</v>
        <stp/>
        <stp>BID</stp>
        <stp>.SPXW240129P4880</stp>
        <tr r="M136" s="7"/>
      </tp>
      <tp>
        <v>30.1</v>
        <stp/>
        <stp>BID</stp>
        <stp>.SPXW240129C4895</stp>
        <tr r="G139" s="7"/>
      </tp>
      <tp>
        <v>35.1</v>
        <stp/>
        <stp>BID</stp>
        <stp>.SPXW240129C4890</stp>
        <tr r="G138" s="7"/>
      </tp>
      <tp>
        <v>0</v>
        <stp/>
        <stp>BID</stp>
        <stp>.SPXW240129P4895</stp>
        <tr r="M139" s="7"/>
      </tp>
      <tp>
        <v>0</v>
        <stp/>
        <stp>BID</stp>
        <stp>.SPXW240129P4890</stp>
        <tr r="M138" s="7"/>
      </tp>
      <tp>
        <v>-0.23</v>
        <stp/>
        <stp>DELTA</stp>
        <stp>.SPXW240129P5125</stp>
        <tr r="S175" s="7"/>
      </tp>
      <tp>
        <v>0</v>
        <stp/>
        <stp>DELTA</stp>
        <stp>.SPXW240129P4125</stp>
        <tr r="S34" s="7"/>
      </tp>
      <tp>
        <v>1</v>
        <stp/>
        <stp>DELTA</stp>
        <stp>.SPXW240129C5125</stp>
        <tr r="E175" s="7"/>
      </tp>
      <tp>
        <v>1</v>
        <stp/>
        <stp>DELTA</stp>
        <stp>.SPXW240129C4125</stp>
        <tr r="E34" s="7"/>
      </tp>
      <tp>
        <v>-0.21</v>
        <stp/>
        <stp>DELTA</stp>
        <stp>.SPXW240129P5100</stp>
        <tr r="S174" s="7"/>
      </tp>
      <tp>
        <v>0</v>
        <stp/>
        <stp>DELTA</stp>
        <stp>.SPXW240129P4100</stp>
        <tr r="S33" s="7"/>
      </tp>
      <tp>
        <v>1</v>
        <stp/>
        <stp>DELTA</stp>
        <stp>.SPXW240129C5100</stp>
        <tr r="E174" s="7"/>
      </tp>
      <tp>
        <v>1</v>
        <stp/>
        <stp>DELTA</stp>
        <stp>.SPXW240129C4100</stp>
        <tr r="E33" s="7"/>
      </tp>
      <tp>
        <v>-0.25</v>
        <stp/>
        <stp>DELTA</stp>
        <stp>.SPXW240129P5175</stp>
        <tr r="S177" s="7"/>
      </tp>
      <tp>
        <v>0</v>
        <stp/>
        <stp>DELTA</stp>
        <stp>.SPXW240129P4175</stp>
        <tr r="S36" s="7"/>
      </tp>
      <tp>
        <v>1</v>
        <stp/>
        <stp>DELTA</stp>
        <stp>.SPXW240129C5175</stp>
        <tr r="E177" s="7"/>
      </tp>
      <tp>
        <v>1</v>
        <stp/>
        <stp>DELTA</stp>
        <stp>.SPXW240129C4175</stp>
        <tr r="E36" s="7"/>
      </tp>
      <tp>
        <v>-0.24</v>
        <stp/>
        <stp>DELTA</stp>
        <stp>.SPXW240129P5150</stp>
        <tr r="S176" s="7"/>
      </tp>
      <tp>
        <v>0</v>
        <stp/>
        <stp>DELTA</stp>
        <stp>.SPXW240129P4150</stp>
        <tr r="S35" s="7"/>
      </tp>
      <tp>
        <v>1</v>
        <stp/>
        <stp>DELTA</stp>
        <stp>.SPXW240129C5150</stp>
        <tr r="E176" s="7"/>
      </tp>
      <tp>
        <v>1</v>
        <stp/>
        <stp>DELTA</stp>
        <stp>.SPXW240129C4150</stp>
        <tr r="E35" s="7"/>
      </tp>
      <tp>
        <v>4343.9399999999996</v>
        <stp/>
        <stp>52LOW</stp>
        <stp>SPX</stp>
        <tr r="H7" s="7"/>
      </tp>
      <tp>
        <v>-0.27</v>
        <stp/>
        <stp>DELTA</stp>
        <stp>.SPXW240129P5225</stp>
        <tr r="S179" s="7"/>
      </tp>
      <tp>
        <v>0</v>
        <stp/>
        <stp>DELTA</stp>
        <stp>.SPXW240129P4225</stp>
        <tr r="S38" s="7"/>
      </tp>
      <tp>
        <v>1</v>
        <stp/>
        <stp>DELTA</stp>
        <stp>.SPXW240129C5225</stp>
        <tr r="E179" s="7"/>
      </tp>
      <tp>
        <v>1</v>
        <stp/>
        <stp>DELTA</stp>
        <stp>.SPXW240129C4225</stp>
        <tr r="E38" s="7"/>
      </tp>
      <tp>
        <v>-0.26</v>
        <stp/>
        <stp>DELTA</stp>
        <stp>.SPXW240129P5200</stp>
        <tr r="S178" s="7"/>
      </tp>
      <tp>
        <v>0</v>
        <stp/>
        <stp>DELTA</stp>
        <stp>.SPXW240129P4200</stp>
        <tr r="S37" s="7"/>
      </tp>
      <tp>
        <v>-0.45</v>
        <stp/>
        <stp>DELTA</stp>
        <stp>.SPXW240129P6200</stp>
        <tr r="S187" s="7"/>
      </tp>
      <tp>
        <v>0</v>
        <stp/>
        <stp>DELTA</stp>
        <stp>.SPXW240129P1200</stp>
        <tr r="S10" s="7"/>
      </tp>
      <tp>
        <v>0</v>
        <stp/>
        <stp>DELTA</stp>
        <stp>.SPXW240129P3200</stp>
        <tr r="S20" s="7"/>
      </tp>
      <tp>
        <v>0</v>
        <stp/>
        <stp>DELTA</stp>
        <stp>.SPXW240129P2200</stp>
        <tr r="S15" s="7"/>
      </tp>
      <tp>
        <v>1</v>
        <stp/>
        <stp>DELTA</stp>
        <stp>.SPXW240129C5200</stp>
        <tr r="E178" s="7"/>
      </tp>
      <tp>
        <v>1</v>
        <stp/>
        <stp>DELTA</stp>
        <stp>.SPXW240129C4200</stp>
        <tr r="E37" s="7"/>
      </tp>
      <tp>
        <v>0</v>
        <stp/>
        <stp>DELTA</stp>
        <stp>.SPXW240129C6200</stp>
        <tr r="E187" s="7"/>
      </tp>
      <tp>
        <v>1</v>
        <stp/>
        <stp>DELTA</stp>
        <stp>.SPXW240129C1200</stp>
        <tr r="E10" s="7"/>
      </tp>
      <tp>
        <v>1</v>
        <stp/>
        <stp>DELTA</stp>
        <stp>.SPXW240129C3200</stp>
        <tr r="E20" s="7"/>
      </tp>
      <tp>
        <v>1</v>
        <stp/>
        <stp>DELTA</stp>
        <stp>.SPXW240129C2200</stp>
        <tr r="E15" s="7"/>
      </tp>
      <tp>
        <v>0</v>
        <stp/>
        <stp>DELTA</stp>
        <stp>.SPXW240129P4275</stp>
        <tr r="S40" s="7"/>
      </tp>
      <tp>
        <v>1</v>
        <stp/>
        <stp>DELTA</stp>
        <stp>.SPXW240129C4275</stp>
        <tr r="E40" s="7"/>
      </tp>
      <tp>
        <v>-0.28000000000000003</v>
        <stp/>
        <stp>DELTA</stp>
        <stp>.SPXW240129P5250</stp>
        <tr r="S180" s="7"/>
      </tp>
      <tp>
        <v>0</v>
        <stp/>
        <stp>DELTA</stp>
        <stp>.SPXW240129P4250</stp>
        <tr r="S39" s="7"/>
      </tp>
      <tp>
        <v>1</v>
        <stp/>
        <stp>DELTA</stp>
        <stp>.SPXW240129C5250</stp>
        <tr r="E180" s="7"/>
      </tp>
      <tp>
        <v>1</v>
        <stp/>
        <stp>DELTA</stp>
        <stp>.SPXW240129C4250</stp>
        <tr r="E39" s="7"/>
      </tp>
      <tp>
        <v>0</v>
        <stp/>
        <stp>DELTA</stp>
        <stp>.SPXW240129P4325</stp>
        <tr r="S42" s="7"/>
      </tp>
      <tp>
        <v>1</v>
        <stp/>
        <stp>DELTA</stp>
        <stp>.SPXW240129C4325</stp>
        <tr r="E42" s="7"/>
      </tp>
      <tp>
        <v>-0.3</v>
        <stp/>
        <stp>DELTA</stp>
        <stp>.SPXW240129P5300</stp>
        <tr r="S181" s="7"/>
      </tp>
      <tp>
        <v>0</v>
        <stp/>
        <stp>DELTA</stp>
        <stp>.SPXW240129P4300</stp>
        <tr r="S41" s="7"/>
      </tp>
      <tp>
        <v>1</v>
        <stp/>
        <stp>DELTA</stp>
        <stp>.SPXW240129C5300</stp>
        <tr r="E181" s="7"/>
      </tp>
      <tp>
        <v>1</v>
        <stp/>
        <stp>DELTA</stp>
        <stp>.SPXW240129C4300</stp>
        <tr r="E41" s="7"/>
      </tp>
      <tp>
        <v>0</v>
        <stp/>
        <stp>DELTA</stp>
        <stp>.SPXW240129P4370</stp>
        <tr r="S44" s="7"/>
      </tp>
      <tp>
        <v>0</v>
        <stp/>
        <stp>DELTA</stp>
        <stp>.SPXW240129P4375</stp>
        <tr r="S45" s="7"/>
      </tp>
      <tp>
        <v>1</v>
        <stp/>
        <stp>DELTA</stp>
        <stp>.SPXW240129C4370</stp>
        <tr r="E44" s="7"/>
      </tp>
      <tp>
        <v>1</v>
        <stp/>
        <stp>DELTA</stp>
        <stp>.SPXW240129C4375</stp>
        <tr r="E45" s="7"/>
      </tp>
      <tp>
        <v>0</v>
        <stp/>
        <stp>DELTA</stp>
        <stp>.SPXW240129P4350</stp>
        <tr r="S43" s="7"/>
      </tp>
      <tp>
        <v>1</v>
        <stp/>
        <stp>DELTA</stp>
        <stp>.SPXW240129C4350</stp>
        <tr r="E43" s="7"/>
      </tp>
      <tp>
        <v>0</v>
        <stp/>
        <stp>DELTA</stp>
        <stp>.SPXW240129P4390</stp>
        <tr r="S47" s="7"/>
      </tp>
      <tp>
        <v>1</v>
        <stp/>
        <stp>DELTA</stp>
        <stp>.SPXW240129C4390</stp>
        <tr r="E47" s="7"/>
      </tp>
      <tp>
        <v>0</v>
        <stp/>
        <stp>DELTA</stp>
        <stp>.SPXW240129P4380</stp>
        <tr r="S46" s="7"/>
      </tp>
      <tp>
        <v>1</v>
        <stp/>
        <stp>DELTA</stp>
        <stp>.SPXW240129C4380</stp>
        <tr r="E46" s="7"/>
      </tp>
      <tp>
        <v>414.3</v>
        <stp/>
        <stp>BID</stp>
        <stp>.SPXW240129C4505</stp>
        <tr r="G61" s="7"/>
      </tp>
      <tp>
        <v>1419.3</v>
        <stp/>
        <stp>BID</stp>
        <stp>.SPXW240129C3500</stp>
        <tr r="G22" s="7"/>
      </tp>
      <tp>
        <v>0</v>
        <stp/>
        <stp>BID</stp>
        <stp>.SPXW240129C5500</stp>
        <tr r="G183" s="7"/>
      </tp>
      <tp>
        <v>419.3</v>
        <stp/>
        <stp>BID</stp>
        <stp>.SPXW240129C4500</stp>
        <tr r="G60" s="7"/>
      </tp>
      <tp>
        <v>0</v>
        <stp/>
        <stp>BID</stp>
        <stp>.SPXW240129P4505</stp>
        <tr r="M61" s="7"/>
      </tp>
      <tp>
        <v>0</v>
        <stp/>
        <stp>BID</stp>
        <stp>.SPXW240129P3500</stp>
        <tr r="M22" s="7"/>
      </tp>
      <tp>
        <v>562.5</v>
        <stp/>
        <stp>BID</stp>
        <stp>.SPXW240129P5500</stp>
        <tr r="M183" s="7"/>
      </tp>
      <tp>
        <v>0</v>
        <stp/>
        <stp>BID</stp>
        <stp>.SPXW240129P4500</stp>
        <tr r="M60" s="7"/>
      </tp>
      <tp>
        <v>404.3</v>
        <stp/>
        <stp>BID</stp>
        <stp>.SPXW240129C4515</stp>
        <tr r="G63" s="7"/>
      </tp>
      <tp>
        <v>409.3</v>
        <stp/>
        <stp>BID</stp>
        <stp>.SPXW240129C4510</stp>
        <tr r="G62" s="7"/>
      </tp>
      <tp>
        <v>0</v>
        <stp/>
        <stp>BID</stp>
        <stp>.SPXW240129P4515</stp>
        <tr r="M63" s="7"/>
      </tp>
      <tp>
        <v>0</v>
        <stp/>
        <stp>BID</stp>
        <stp>.SPXW240129P4510</stp>
        <tr r="M62" s="7"/>
      </tp>
      <tp>
        <v>394.3</v>
        <stp/>
        <stp>BID</stp>
        <stp>.SPXW240129C4525</stp>
        <tr r="G65" s="7"/>
      </tp>
      <tp>
        <v>399.3</v>
        <stp/>
        <stp>BID</stp>
        <stp>.SPXW240129C4520</stp>
        <tr r="G64" s="7"/>
      </tp>
      <tp>
        <v>0</v>
        <stp/>
        <stp>BID</stp>
        <stp>.SPXW240129P4525</stp>
        <tr r="M65" s="7"/>
      </tp>
      <tp>
        <v>0</v>
        <stp/>
        <stp>BID</stp>
        <stp>.SPXW240129P4520</stp>
        <tr r="M64" s="7"/>
      </tp>
      <tp>
        <v>384.3</v>
        <stp/>
        <stp>BID</stp>
        <stp>.SPXW240129C4535</stp>
        <tr r="G67" s="7"/>
      </tp>
      <tp>
        <v>389.3</v>
        <stp/>
        <stp>BID</stp>
        <stp>.SPXW240129C4530</stp>
        <tr r="G66" s="7"/>
      </tp>
      <tp>
        <v>0</v>
        <stp/>
        <stp>BID</stp>
        <stp>.SPXW240129P4535</stp>
        <tr r="M67" s="7"/>
      </tp>
      <tp>
        <v>0</v>
        <stp/>
        <stp>BID</stp>
        <stp>.SPXW240129P4530</stp>
        <tr r="M66" s="7"/>
      </tp>
      <tp>
        <v>374.3</v>
        <stp/>
        <stp>BID</stp>
        <stp>.SPXW240129C4545</stp>
        <tr r="G69" s="7"/>
      </tp>
      <tp>
        <v>379.3</v>
        <stp/>
        <stp>BID</stp>
        <stp>.SPXW240129C4540</stp>
        <tr r="G68" s="7"/>
      </tp>
      <tp>
        <v>0</v>
        <stp/>
        <stp>BID</stp>
        <stp>.SPXW240129P4545</stp>
        <tr r="M69" s="7"/>
      </tp>
      <tp>
        <v>0</v>
        <stp/>
        <stp>BID</stp>
        <stp>.SPXW240129P4540</stp>
        <tr r="M68" s="7"/>
      </tp>
      <tp>
        <v>364.3</v>
        <stp/>
        <stp>BID</stp>
        <stp>.SPXW240129C4555</stp>
        <tr r="G71" s="7"/>
      </tp>
      <tp>
        <v>369.3</v>
        <stp/>
        <stp>BID</stp>
        <stp>.SPXW240129C4550</stp>
        <tr r="G70" s="7"/>
      </tp>
      <tp>
        <v>0</v>
        <stp/>
        <stp>BID</stp>
        <stp>.SPXW240129P4555</stp>
        <tr r="M71" s="7"/>
      </tp>
      <tp>
        <v>0</v>
        <stp/>
        <stp>BID</stp>
        <stp>.SPXW240129P4550</stp>
        <tr r="M70" s="7"/>
      </tp>
      <tp>
        <v>354.3</v>
        <stp/>
        <stp>BID</stp>
        <stp>.SPXW240129C4565</stp>
        <tr r="G73" s="7"/>
      </tp>
      <tp>
        <v>359.3</v>
        <stp/>
        <stp>BID</stp>
        <stp>.SPXW240129C4560</stp>
        <tr r="G72" s="7"/>
      </tp>
      <tp>
        <v>0</v>
        <stp/>
        <stp>BID</stp>
        <stp>.SPXW240129P4565</stp>
        <tr r="M73" s="7"/>
      </tp>
      <tp>
        <v>0</v>
        <stp/>
        <stp>BID</stp>
        <stp>.SPXW240129P4560</stp>
        <tr r="M72" s="7"/>
      </tp>
      <tp>
        <v>344.3</v>
        <stp/>
        <stp>BID</stp>
        <stp>.SPXW240129C4575</stp>
        <tr r="G75" s="7"/>
      </tp>
      <tp>
        <v>349.3</v>
        <stp/>
        <stp>BID</stp>
        <stp>.SPXW240129C4570</stp>
        <tr r="G74" s="7"/>
      </tp>
      <tp>
        <v>0</v>
        <stp/>
        <stp>BID</stp>
        <stp>.SPXW240129P4575</stp>
        <tr r="M75" s="7"/>
      </tp>
      <tp>
        <v>0</v>
        <stp/>
        <stp>BID</stp>
        <stp>.SPXW240129P4570</stp>
        <tr r="M74" s="7"/>
      </tp>
      <tp>
        <v>334.3</v>
        <stp/>
        <stp>BID</stp>
        <stp>.SPXW240129C4585</stp>
        <tr r="G77" s="7"/>
      </tp>
      <tp>
        <v>339.3</v>
        <stp/>
        <stp>BID</stp>
        <stp>.SPXW240129C4580</stp>
        <tr r="G76" s="7"/>
      </tp>
      <tp>
        <v>0</v>
        <stp/>
        <stp>BID</stp>
        <stp>.SPXW240129P4585</stp>
        <tr r="M77" s="7"/>
      </tp>
      <tp>
        <v>0</v>
        <stp/>
        <stp>BID</stp>
        <stp>.SPXW240129P4580</stp>
        <tr r="M76" s="7"/>
      </tp>
      <tp>
        <v>324.3</v>
        <stp/>
        <stp>BID</stp>
        <stp>.SPXW240129C4595</stp>
        <tr r="G79" s="7"/>
      </tp>
      <tp>
        <v>329.3</v>
        <stp/>
        <stp>BID</stp>
        <stp>.SPXW240129C4590</stp>
        <tr r="G78" s="7"/>
      </tp>
      <tp>
        <v>0</v>
        <stp/>
        <stp>BID</stp>
        <stp>.SPXW240129P4595</stp>
        <tr r="M79" s="7"/>
      </tp>
      <tp>
        <v>0</v>
        <stp/>
        <stp>BID</stp>
        <stp>.SPXW240129P4590</stp>
        <tr r="M78" s="7"/>
      </tp>
      <tp t="s">
        <v>C</v>
        <stp/>
        <stp>AX</stp>
        <stp>.SPXW240129C4125</stp>
        <tr r="J34" s="7"/>
      </tp>
      <tp t="s">
        <v>C</v>
        <stp/>
        <stp>BX</stp>
        <stp>.SPXW240129C4225</stp>
        <tr r="H38" s="7"/>
      </tp>
      <tp t="s">
        <v>C</v>
        <stp/>
        <stp>AX</stp>
        <stp>.SPXW240129C5125</stp>
        <tr r="J175" s="7"/>
      </tp>
      <tp t="s">
        <v>C</v>
        <stp/>
        <stp>BX</stp>
        <stp>.SPXW240129C5225</stp>
        <tr r="H179" s="7"/>
      </tp>
      <tp t="s">
        <v>C</v>
        <stp/>
        <stp>AX</stp>
        <stp>.SPXW240129P4125</stp>
        <tr r="P34" s="7"/>
      </tp>
      <tp t="s">
        <v>C</v>
        <stp/>
        <stp>BX</stp>
        <stp>.SPXW240129P4225</stp>
        <tr r="N38" s="7"/>
      </tp>
      <tp t="s">
        <v>C</v>
        <stp/>
        <stp>AX</stp>
        <stp>.SPXW240129P5125</stp>
        <tr r="P175" s="7"/>
      </tp>
      <tp t="s">
        <v>C</v>
        <stp/>
        <stp>BX</stp>
        <stp>.SPXW240129P5225</stp>
        <tr r="N179" s="7"/>
      </tp>
      <tp t="s">
        <v>C</v>
        <stp/>
        <stp>AX</stp>
        <stp>.SPXW240129C4100</stp>
        <tr r="J33" s="7"/>
      </tp>
      <tp t="s">
        <v>C</v>
        <stp/>
        <stp>BX</stp>
        <stp>.SPXW240129C4200</stp>
        <tr r="H37" s="7"/>
      </tp>
      <tp t="s">
        <v>C</v>
        <stp/>
        <stp>AX</stp>
        <stp>.SPXW240129C5100</stp>
        <tr r="J174" s="7"/>
      </tp>
      <tp t="s">
        <v>C</v>
        <stp/>
        <stp>BX</stp>
        <stp>.SPXW240129C5200</stp>
        <tr r="H178" s="7"/>
      </tp>
      <tp t="s">
        <v>C</v>
        <stp/>
        <stp>BX</stp>
        <stp>.SPXW240129C6200</stp>
        <tr r="H187" s="7"/>
      </tp>
      <tp t="s">
        <v>C</v>
        <stp/>
        <stp>BX</stp>
        <stp>.SPXW240129C1200</stp>
        <tr r="H10" s="7"/>
      </tp>
      <tp t="s">
        <v>C</v>
        <stp/>
        <stp>BX</stp>
        <stp>.SPXW240129C2200</stp>
        <tr r="H15" s="7"/>
      </tp>
      <tp t="s">
        <v>C</v>
        <stp/>
        <stp>BX</stp>
        <stp>.SPXW240129C3200</stp>
        <tr r="H20" s="7"/>
      </tp>
      <tp t="s">
        <v>C</v>
        <stp/>
        <stp>AX</stp>
        <stp>.SPXW240129P4100</stp>
        <tr r="P33" s="7"/>
      </tp>
      <tp t="s">
        <v>C</v>
        <stp/>
        <stp>BX</stp>
        <stp>.SPXW240129P4200</stp>
        <tr r="N37" s="7"/>
      </tp>
      <tp t="s">
        <v>C</v>
        <stp/>
        <stp>AX</stp>
        <stp>.SPXW240129P5100</stp>
        <tr r="P174" s="7"/>
      </tp>
      <tp t="s">
        <v>C</v>
        <stp/>
        <stp>BX</stp>
        <stp>.SPXW240129P5200</stp>
        <tr r="N178" s="7"/>
      </tp>
      <tp t="s">
        <v>C</v>
        <stp/>
        <stp>BX</stp>
        <stp>.SPXW240129P6200</stp>
        <tr r="N187" s="7"/>
      </tp>
      <tp t="s">
        <v>C</v>
        <stp/>
        <stp>BX</stp>
        <stp>.SPXW240129P1200</stp>
        <tr r="N10" s="7"/>
      </tp>
      <tp t="s">
        <v>C</v>
        <stp/>
        <stp>BX</stp>
        <stp>.SPXW240129P2200</stp>
        <tr r="N15" s="7"/>
      </tp>
      <tp t="s">
        <v>C</v>
        <stp/>
        <stp>BX</stp>
        <stp>.SPXW240129P3200</stp>
        <tr r="N20" s="7"/>
      </tp>
      <tp t="s">
        <v>C</v>
        <stp/>
        <stp>AX</stp>
        <stp>.SPXW240129C4175</stp>
        <tr r="J36" s="7"/>
      </tp>
      <tp t="s">
        <v>C</v>
        <stp/>
        <stp>BX</stp>
        <stp>.SPXW240129C4275</stp>
        <tr r="H40" s="7"/>
      </tp>
      <tp t="s">
        <v>C</v>
        <stp/>
        <stp>AX</stp>
        <stp>.SPXW240129C5175</stp>
        <tr r="J177" s="7"/>
      </tp>
      <tp t="s">
        <v>C</v>
        <stp/>
        <stp>AX</stp>
        <stp>.SPXW240129P4175</stp>
        <tr r="P36" s="7"/>
      </tp>
      <tp t="s">
        <v>C</v>
        <stp/>
        <stp>BX</stp>
        <stp>.SPXW240129P4275</stp>
        <tr r="N40" s="7"/>
      </tp>
      <tp t="s">
        <v>C</v>
        <stp/>
        <stp>AX</stp>
        <stp>.SPXW240129P5175</stp>
        <tr r="P177" s="7"/>
      </tp>
      <tp t="s">
        <v>C</v>
        <stp/>
        <stp>AX</stp>
        <stp>.SPXW240129C4150</stp>
        <tr r="J35" s="7"/>
      </tp>
      <tp t="s">
        <v>C</v>
        <stp/>
        <stp>BX</stp>
        <stp>.SPXW240129C4250</stp>
        <tr r="H39" s="7"/>
      </tp>
      <tp t="s">
        <v>C</v>
        <stp/>
        <stp>AX</stp>
        <stp>.SPXW240129C5150</stp>
        <tr r="J176" s="7"/>
      </tp>
      <tp t="s">
        <v>C</v>
        <stp/>
        <stp>BX</stp>
        <stp>.SPXW240129C5250</stp>
        <tr r="H180" s="7"/>
      </tp>
      <tp t="s">
        <v>C</v>
        <stp/>
        <stp>AX</stp>
        <stp>.SPXW240129P4150</stp>
        <tr r="P35" s="7"/>
      </tp>
      <tp t="s">
        <v>C</v>
        <stp/>
        <stp>BX</stp>
        <stp>.SPXW240129P4250</stp>
        <tr r="N39" s="7"/>
      </tp>
      <tp t="s">
        <v>C</v>
        <stp/>
        <stp>AX</stp>
        <stp>.SPXW240129P5150</stp>
        <tr r="P176" s="7"/>
      </tp>
      <tp t="s">
        <v>C</v>
        <stp/>
        <stp>BX</stp>
        <stp>.SPXW240129P5250</stp>
        <tr r="N180" s="7"/>
      </tp>
      <tp>
        <v>3519.3</v>
        <stp/>
        <stp>BID</stp>
        <stp>.SPXW240129C1400</stp>
        <tr r="G11" s="7"/>
      </tp>
      <tp>
        <v>1519.3</v>
        <stp/>
        <stp>BID</stp>
        <stp>.SPXW240129C3400</stp>
        <tr r="G21" s="7"/>
      </tp>
      <tp>
        <v>2519.3000000000002</v>
        <stp/>
        <stp>BID</stp>
        <stp>.SPXW240129C2400</stp>
        <tr r="G16" s="7"/>
      </tp>
      <tp>
        <v>0</v>
        <stp/>
        <stp>BID</stp>
        <stp>.SPXW240129C5400</stp>
        <tr r="G182" s="7"/>
      </tp>
      <tp>
        <v>519.29999999999995</v>
        <stp/>
        <stp>BID</stp>
        <stp>.SPXW240129C4400</stp>
        <tr r="G48" s="7"/>
      </tp>
      <tp>
        <v>0</v>
        <stp/>
        <stp>BID</stp>
        <stp>.SPXW240129P1400</stp>
        <tr r="M11" s="7"/>
      </tp>
      <tp>
        <v>0</v>
        <stp/>
        <stp>BID</stp>
        <stp>.SPXW240129P3400</stp>
        <tr r="M21" s="7"/>
      </tp>
      <tp>
        <v>0</v>
        <stp/>
        <stp>BID</stp>
        <stp>.SPXW240129P2400</stp>
        <tr r="M16" s="7"/>
      </tp>
      <tp>
        <v>462.5</v>
        <stp/>
        <stp>BID</stp>
        <stp>.SPXW240129P5400</stp>
        <tr r="M182" s="7"/>
      </tp>
      <tp>
        <v>0</v>
        <stp/>
        <stp>BID</stp>
        <stp>.SPXW240129P4400</stp>
        <tr r="M48" s="7"/>
      </tp>
      <tp>
        <v>509.3</v>
        <stp/>
        <stp>BID</stp>
        <stp>.SPXW240129C4410</stp>
        <tr r="G49" s="7"/>
      </tp>
      <tp>
        <v>0</v>
        <stp/>
        <stp>BID</stp>
        <stp>.SPXW240129P4410</stp>
        <tr r="M49" s="7"/>
      </tp>
      <tp>
        <v>494.3</v>
        <stp/>
        <stp>BID</stp>
        <stp>.SPXW240129C4425</stp>
        <tr r="G51" s="7"/>
      </tp>
      <tp>
        <v>499.3</v>
        <stp/>
        <stp>BID</stp>
        <stp>.SPXW240129C4420</stp>
        <tr r="G50" s="7"/>
      </tp>
      <tp>
        <v>0</v>
        <stp/>
        <stp>BID</stp>
        <stp>.SPXW240129P4425</stp>
        <tr r="M51" s="7"/>
      </tp>
      <tp>
        <v>0</v>
        <stp/>
        <stp>BID</stp>
        <stp>.SPXW240129P4420</stp>
        <tr r="M50" s="7"/>
      </tp>
      <tp>
        <v>489.3</v>
        <stp/>
        <stp>BID</stp>
        <stp>.SPXW240129C4430</stp>
        <tr r="G52" s="7"/>
      </tp>
      <tp>
        <v>0</v>
        <stp/>
        <stp>BID</stp>
        <stp>.SPXW240129P4430</stp>
        <tr r="M52" s="7"/>
      </tp>
      <tp>
        <v>479.3</v>
        <stp/>
        <stp>BID</stp>
        <stp>.SPXW240129C4440</stp>
        <tr r="G53" s="7"/>
      </tp>
      <tp>
        <v>0</v>
        <stp/>
        <stp>BID</stp>
        <stp>.SPXW240129P4440</stp>
        <tr r="M53" s="7"/>
      </tp>
      <tp>
        <v>469.3</v>
        <stp/>
        <stp>BID</stp>
        <stp>.SPXW240129C4450</stp>
        <tr r="G54" s="7"/>
      </tp>
      <tp>
        <v>0</v>
        <stp/>
        <stp>BID</stp>
        <stp>.SPXW240129P4450</stp>
        <tr r="M54" s="7"/>
      </tp>
      <tp>
        <v>459.3</v>
        <stp/>
        <stp>BID</stp>
        <stp>.SPXW240129C4460</stp>
        <tr r="G55" s="7"/>
      </tp>
      <tp>
        <v>0</v>
        <stp/>
        <stp>BID</stp>
        <stp>.SPXW240129P4460</stp>
        <tr r="M55" s="7"/>
      </tp>
      <tp>
        <v>444.3</v>
        <stp/>
        <stp>BID</stp>
        <stp>.SPXW240129C4475</stp>
        <tr r="G57" s="7"/>
      </tp>
      <tp>
        <v>449.3</v>
        <stp/>
        <stp>BID</stp>
        <stp>.SPXW240129C4470</stp>
        <tr r="G56" s="7"/>
      </tp>
      <tp>
        <v>0</v>
        <stp/>
        <stp>BID</stp>
        <stp>.SPXW240129P4475</stp>
        <tr r="M57" s="7"/>
      </tp>
      <tp>
        <v>0</v>
        <stp/>
        <stp>BID</stp>
        <stp>.SPXW240129P4470</stp>
        <tr r="M56" s="7"/>
      </tp>
      <tp>
        <v>439.3</v>
        <stp/>
        <stp>BID</stp>
        <stp>.SPXW240129C4480</stp>
        <tr r="G58" s="7"/>
      </tp>
      <tp>
        <v>0</v>
        <stp/>
        <stp>BID</stp>
        <stp>.SPXW240129P4480</stp>
        <tr r="M58" s="7"/>
      </tp>
      <tp>
        <v>429.3</v>
        <stp/>
        <stp>BID</stp>
        <stp>.SPXW240129C4490</stp>
        <tr r="G59" s="7"/>
      </tp>
      <tp>
        <v>0</v>
        <stp/>
        <stp>BID</stp>
        <stp>.SPXW240129P4490</stp>
        <tr r="M59" s="7"/>
      </tp>
      <tp t="s">
        <v>C</v>
        <stp/>
        <stp>AX</stp>
        <stp>.SPXW240129C5020</stp>
        <tr r="J164" s="7"/>
      </tp>
      <tp t="s">
        <v>C</v>
        <stp/>
        <stp>BX</stp>
        <stp>.SPXW240129C4325</stp>
        <tr r="H42" s="7"/>
      </tp>
      <tp t="s">
        <v>C</v>
        <stp/>
        <stp>AX</stp>
        <stp>.SPXW240129C5025</stp>
        <tr r="J165" s="7"/>
      </tp>
      <tp t="s">
        <v>C</v>
        <stp/>
        <stp>AX</stp>
        <stp>.SPXW240129P5020</stp>
        <tr r="P164" s="7"/>
      </tp>
      <tp t="s">
        <v>C</v>
        <stp/>
        <stp>BX</stp>
        <stp>.SPXW240129P4325</stp>
        <tr r="N42" s="7"/>
      </tp>
      <tp t="s">
        <v>C</v>
        <stp/>
        <stp>AX</stp>
        <stp>.SPXW240129P5025</stp>
        <tr r="P165" s="7"/>
      </tp>
      <tp t="s">
        <v>C</v>
        <stp/>
        <stp>AX</stp>
        <stp>.SPXW240129C5030</stp>
        <tr r="J166" s="7"/>
      </tp>
      <tp t="s">
        <v>C</v>
        <stp/>
        <stp>AX</stp>
        <stp>.SPXW240129C5035</stp>
        <tr r="J167" s="7"/>
      </tp>
      <tp t="s">
        <v>C</v>
        <stp/>
        <stp>AX</stp>
        <stp>.SPXW240129P5030</stp>
        <tr r="P166" s="7"/>
      </tp>
      <tp t="s">
        <v>C</v>
        <stp/>
        <stp>AX</stp>
        <stp>.SPXW240129P5035</stp>
        <tr r="P167" s="7"/>
      </tp>
      <tp t="s">
        <v>C</v>
        <stp/>
        <stp>AX</stp>
        <stp>.SPXW240129C4000</stp>
        <tr r="J31" s="7"/>
      </tp>
      <tp t="s">
        <v>C</v>
        <stp/>
        <stp>BX</stp>
        <stp>.SPXW240129C4300</stp>
        <tr r="H41" s="7"/>
      </tp>
      <tp t="s">
        <v>C</v>
        <stp/>
        <stp>AX</stp>
        <stp>.SPXW240129C5000</stp>
        <tr r="J160" s="7"/>
      </tp>
      <tp t="s">
        <v>C</v>
        <stp/>
        <stp>BX</stp>
        <stp>.SPXW240129C5300</stp>
        <tr r="H181" s="7"/>
      </tp>
      <tp t="s">
        <v>C</v>
        <stp/>
        <stp>AX</stp>
        <stp>.SPXW240129C6000</stp>
        <tr r="J186" s="7"/>
      </tp>
      <tp t="s">
        <v>C</v>
        <stp/>
        <stp>AX</stp>
        <stp>.SPXW240129C2000</stp>
        <tr r="J14" s="7"/>
      </tp>
      <tp t="s">
        <v>C</v>
        <stp/>
        <stp>AX</stp>
        <stp>.SPXW240129C3000</stp>
        <tr r="J19" s="7"/>
      </tp>
      <tp t="s">
        <v>C</v>
        <stp/>
        <stp>AX</stp>
        <stp>.SPXW240129C5005</stp>
        <tr r="J161" s="7"/>
      </tp>
      <tp t="s">
        <v>C</v>
        <stp/>
        <stp>AX</stp>
        <stp>.SPXW240129P4000</stp>
        <tr r="P31" s="7"/>
      </tp>
      <tp t="s">
        <v>C</v>
        <stp/>
        <stp>BX</stp>
        <stp>.SPXW240129P4300</stp>
        <tr r="N41" s="7"/>
      </tp>
      <tp t="s">
        <v>C</v>
        <stp/>
        <stp>AX</stp>
        <stp>.SPXW240129P5000</stp>
        <tr r="P160" s="7"/>
      </tp>
      <tp t="s">
        <v>C</v>
        <stp/>
        <stp>BX</stp>
        <stp>.SPXW240129P5300</stp>
        <tr r="N181" s="7"/>
      </tp>
      <tp t="s">
        <v>C</v>
        <stp/>
        <stp>AX</stp>
        <stp>.SPXW240129P6000</stp>
        <tr r="P186" s="7"/>
      </tp>
      <tp t="s">
        <v>C</v>
        <stp/>
        <stp>AX</stp>
        <stp>.SPXW240129P2000</stp>
        <tr r="P14" s="7"/>
      </tp>
      <tp t="s">
        <v>C</v>
        <stp/>
        <stp>AX</stp>
        <stp>.SPXW240129P3000</stp>
        <tr r="P19" s="7"/>
      </tp>
      <tp t="s">
        <v>C</v>
        <stp/>
        <stp>AX</stp>
        <stp>.SPXW240129P5005</stp>
        <tr r="P161" s="7"/>
      </tp>
      <tp t="s">
        <v>C</v>
        <stp/>
        <stp>AX</stp>
        <stp>.SPXW240129C5010</stp>
        <tr r="J162" s="7"/>
      </tp>
      <tp t="s">
        <v>C</v>
        <stp/>
        <stp>AX</stp>
        <stp>.SPXW240129C5015</stp>
        <tr r="J163" s="7"/>
      </tp>
      <tp t="s">
        <v>C</v>
        <stp/>
        <stp>AX</stp>
        <stp>.SPXW240129P5010</stp>
        <tr r="P162" s="7"/>
      </tp>
      <tp t="s">
        <v>C</v>
        <stp/>
        <stp>AX</stp>
        <stp>.SPXW240129P5015</stp>
        <tr r="P163" s="7"/>
      </tp>
      <tp t="s">
        <v>C</v>
        <stp/>
        <stp>AX</stp>
        <stp>.SPXW240129C5060</stp>
        <tr r="J170" s="7"/>
      </tp>
      <tp t="s">
        <v>C</v>
        <stp/>
        <stp>AX</stp>
        <stp>.SPXW240129P5060</stp>
        <tr r="P170" s="7"/>
      </tp>
      <tp t="s">
        <v>C</v>
        <stp/>
        <stp>BX</stp>
        <stp>.SPXW240129C4370</stp>
        <tr r="H44" s="7"/>
      </tp>
      <tp t="s">
        <v>C</v>
        <stp/>
        <stp>AX</stp>
        <stp>.SPXW240129C5070</stp>
        <tr r="J171" s="7"/>
      </tp>
      <tp t="s">
        <v>C</v>
        <stp/>
        <stp>BX</stp>
        <stp>.SPXW240129C4375</stp>
        <tr r="H45" s="7"/>
      </tp>
      <tp t="s">
        <v>C</v>
        <stp/>
        <stp>AX</stp>
        <stp>.SPXW240129C5075</stp>
        <tr r="J172" s="7"/>
      </tp>
      <tp t="s">
        <v>C</v>
        <stp/>
        <stp>BX</stp>
        <stp>.SPXW240129P4370</stp>
        <tr r="N44" s="7"/>
      </tp>
      <tp t="s">
        <v>C</v>
        <stp/>
        <stp>AX</stp>
        <stp>.SPXW240129P5070</stp>
        <tr r="P171" s="7"/>
      </tp>
      <tp t="s">
        <v>C</v>
        <stp/>
        <stp>BX</stp>
        <stp>.SPXW240129P4375</stp>
        <tr r="N45" s="7"/>
      </tp>
      <tp t="s">
        <v>C</v>
        <stp/>
        <stp>AX</stp>
        <stp>.SPXW240129P5075</stp>
        <tr r="P172" s="7"/>
      </tp>
      <tp t="s">
        <v>C</v>
        <stp/>
        <stp>AX</stp>
        <stp>.SPXW240129C5040</stp>
        <tr r="J168" s="7"/>
      </tp>
      <tp t="s">
        <v>C</v>
        <stp/>
        <stp>AX</stp>
        <stp>.SPXW240129P5040</stp>
        <tr r="P168" s="7"/>
      </tp>
      <tp t="s">
        <v>C</v>
        <stp/>
        <stp>AX</stp>
        <stp>.SPXW240129C4050</stp>
        <tr r="J32" s="7"/>
      </tp>
      <tp t="s">
        <v>C</v>
        <stp/>
        <stp>BX</stp>
        <stp>.SPXW240129C4350</stp>
        <tr r="H43" s="7"/>
      </tp>
      <tp t="s">
        <v>C</v>
        <stp/>
        <stp>AX</stp>
        <stp>.SPXW240129C5050</stp>
        <tr r="J169" s="7"/>
      </tp>
      <tp t="s">
        <v>C</v>
        <stp/>
        <stp>AX</stp>
        <stp>.SPXW240129P4050</stp>
        <tr r="P32" s="7"/>
      </tp>
      <tp t="s">
        <v>C</v>
        <stp/>
        <stp>BX</stp>
        <stp>.SPXW240129P4350</stp>
        <tr r="N43" s="7"/>
      </tp>
      <tp t="s">
        <v>C</v>
        <stp/>
        <stp>AX</stp>
        <stp>.SPXW240129P5050</stp>
        <tr r="P169" s="7"/>
      </tp>
      <tp t="s">
        <v>C</v>
        <stp/>
        <stp>BX</stp>
        <stp>.SPXW240129C4380</stp>
        <tr r="H46" s="7"/>
      </tp>
      <tp t="s">
        <v>C</v>
        <stp/>
        <stp>AX</stp>
        <stp>.SPXW240129C5080</stp>
        <tr r="J173" s="7"/>
      </tp>
      <tp t="s">
        <v>C</v>
        <stp/>
        <stp>BX</stp>
        <stp>.SPXW240129P4380</stp>
        <tr r="N46" s="7"/>
      </tp>
      <tp t="s">
        <v>C</v>
        <stp/>
        <stp>AX</stp>
        <stp>.SPXW240129P5080</stp>
        <tr r="P173" s="7"/>
      </tp>
      <tp t="s">
        <v>C</v>
        <stp/>
        <stp>BX</stp>
        <stp>.SPXW240129C4390</stp>
        <tr r="H47" s="7"/>
      </tp>
      <tp t="s">
        <v>C</v>
        <stp/>
        <stp>BX</stp>
        <stp>.SPXW240129P4390</stp>
        <tr r="N47" s="7"/>
      </tp>
      <tp>
        <v>214.3</v>
        <stp/>
        <stp>BID</stp>
        <stp>.SPXW240129C4705</stp>
        <tr r="G101" s="7"/>
      </tp>
      <tp>
        <v>1219.3</v>
        <stp/>
        <stp>BID</stp>
        <stp>.SPXW240129C3700</stp>
        <tr r="G25" s="7"/>
      </tp>
      <tp>
        <v>219.3</v>
        <stp/>
        <stp>BID</stp>
        <stp>.SPXW240129C4700</stp>
        <tr r="G100" s="7"/>
      </tp>
      <tp>
        <v>0</v>
        <stp/>
        <stp>BID</stp>
        <stp>.SPXW240129P4705</stp>
        <tr r="M101" s="7"/>
      </tp>
      <tp>
        <v>0</v>
        <stp/>
        <stp>BID</stp>
        <stp>.SPXW240129P3700</stp>
        <tr r="M25" s="7"/>
      </tp>
      <tp>
        <v>0</v>
        <stp/>
        <stp>BID</stp>
        <stp>.SPXW240129P4700</stp>
        <tr r="M100" s="7"/>
      </tp>
      <tp>
        <v>207.3</v>
        <stp/>
        <stp>BID</stp>
        <stp>.SPXW240129C4715</stp>
        <tr r="G103" s="7"/>
      </tp>
      <tp>
        <v>210.3</v>
        <stp/>
        <stp>BID</stp>
        <stp>.SPXW240129C4710</stp>
        <tr r="G102" s="7"/>
      </tp>
      <tp>
        <v>0</v>
        <stp/>
        <stp>BID</stp>
        <stp>.SPXW240129P4715</stp>
        <tr r="M103" s="7"/>
      </tp>
      <tp>
        <v>0</v>
        <stp/>
        <stp>BID</stp>
        <stp>.SPXW240129P4710</stp>
        <tr r="M102" s="7"/>
      </tp>
      <tp>
        <v>197.3</v>
        <stp/>
        <stp>BID</stp>
        <stp>.SPXW240129C4725</stp>
        <tr r="G105" s="7"/>
      </tp>
      <tp>
        <v>202.3</v>
        <stp/>
        <stp>BID</stp>
        <stp>.SPXW240129C4720</stp>
        <tr r="G104" s="7"/>
      </tp>
      <tp>
        <v>0</v>
        <stp/>
        <stp>BID</stp>
        <stp>.SPXW240129P4725</stp>
        <tr r="M105" s="7"/>
      </tp>
      <tp>
        <v>0</v>
        <stp/>
        <stp>BID</stp>
        <stp>.SPXW240129P4720</stp>
        <tr r="M104" s="7"/>
      </tp>
      <tp>
        <v>187.3</v>
        <stp/>
        <stp>BID</stp>
        <stp>.SPXW240129C4735</stp>
        <tr r="G107" s="7"/>
      </tp>
      <tp>
        <v>192.3</v>
        <stp/>
        <stp>BID</stp>
        <stp>.SPXW240129C4730</stp>
        <tr r="G106" s="7"/>
      </tp>
      <tp>
        <v>0</v>
        <stp/>
        <stp>BID</stp>
        <stp>.SPXW240129P4735</stp>
        <tr r="M107" s="7"/>
      </tp>
      <tp>
        <v>0</v>
        <stp/>
        <stp>BID</stp>
        <stp>.SPXW240129P4730</stp>
        <tr r="M106" s="7"/>
      </tp>
      <tp>
        <v>177.4</v>
        <stp/>
        <stp>BID</stp>
        <stp>.SPXW240129C4745</stp>
        <tr r="G109" s="7"/>
      </tp>
      <tp>
        <v>182.4</v>
        <stp/>
        <stp>BID</stp>
        <stp>.SPXW240129C4740</stp>
        <tr r="G108" s="7"/>
      </tp>
      <tp>
        <v>0</v>
        <stp/>
        <stp>BID</stp>
        <stp>.SPXW240129P4745</stp>
        <tr r="M109" s="7"/>
      </tp>
      <tp>
        <v>0</v>
        <stp/>
        <stp>BID</stp>
        <stp>.SPXW240129P4740</stp>
        <tr r="M108" s="7"/>
      </tp>
      <tp>
        <v>167.4</v>
        <stp/>
        <stp>BID</stp>
        <stp>.SPXW240129C4755</stp>
        <tr r="G111" s="7"/>
      </tp>
      <tp>
        <v>1169.3</v>
        <stp/>
        <stp>BID</stp>
        <stp>.SPXW240129C3750</stp>
        <tr r="G26" s="7"/>
      </tp>
      <tp>
        <v>172.4</v>
        <stp/>
        <stp>BID</stp>
        <stp>.SPXW240129C4750</stp>
        <tr r="G110" s="7"/>
      </tp>
      <tp>
        <v>0</v>
        <stp/>
        <stp>BID</stp>
        <stp>.SPXW240129P4755</stp>
        <tr r="M111" s="7"/>
      </tp>
      <tp>
        <v>0</v>
        <stp/>
        <stp>BID</stp>
        <stp>.SPXW240129P3750</stp>
        <tr r="M26" s="7"/>
      </tp>
      <tp>
        <v>0</v>
        <stp/>
        <stp>BID</stp>
        <stp>.SPXW240129P4750</stp>
        <tr r="M110" s="7"/>
      </tp>
      <tp>
        <v>157.4</v>
        <stp/>
        <stp>BID</stp>
        <stp>.SPXW240129C4765</stp>
        <tr r="G113" s="7"/>
      </tp>
      <tp>
        <v>162.4</v>
        <stp/>
        <stp>BID</stp>
        <stp>.SPXW240129C4760</stp>
        <tr r="G112" s="7"/>
      </tp>
      <tp>
        <v>0</v>
        <stp/>
        <stp>BID</stp>
        <stp>.SPXW240129P4765</stp>
        <tr r="M113" s="7"/>
      </tp>
      <tp>
        <v>0</v>
        <stp/>
        <stp>BID</stp>
        <stp>.SPXW240129P4760</stp>
        <tr r="M112" s="7"/>
      </tp>
      <tp>
        <v>147.4</v>
        <stp/>
        <stp>BID</stp>
        <stp>.SPXW240129C4775</stp>
        <tr r="G115" s="7"/>
      </tp>
      <tp>
        <v>152.4</v>
        <stp/>
        <stp>BID</stp>
        <stp>.SPXW240129C4770</stp>
        <tr r="G114" s="7"/>
      </tp>
      <tp>
        <v>0</v>
        <stp/>
        <stp>BID</stp>
        <stp>.SPXW240129P4775</stp>
        <tr r="M115" s="7"/>
      </tp>
      <tp>
        <v>0</v>
        <stp/>
        <stp>BID</stp>
        <stp>.SPXW240129P4770</stp>
        <tr r="M114" s="7"/>
      </tp>
      <tp>
        <v>137.4</v>
        <stp/>
        <stp>BID</stp>
        <stp>.SPXW240129C4785</stp>
        <tr r="G117" s="7"/>
      </tp>
      <tp>
        <v>142.4</v>
        <stp/>
        <stp>BID</stp>
        <stp>.SPXW240129C4780</stp>
        <tr r="G116" s="7"/>
      </tp>
      <tp>
        <v>0</v>
        <stp/>
        <stp>BID</stp>
        <stp>.SPXW240129P4785</stp>
        <tr r="M117" s="7"/>
      </tp>
      <tp>
        <v>0</v>
        <stp/>
        <stp>BID</stp>
        <stp>.SPXW240129P4780</stp>
        <tr r="M116" s="7"/>
      </tp>
      <tp>
        <v>127.4</v>
        <stp/>
        <stp>BID</stp>
        <stp>.SPXW240129C4795</stp>
        <tr r="G119" s="7"/>
      </tp>
      <tp>
        <v>132.4</v>
        <stp/>
        <stp>BID</stp>
        <stp>.SPXW240129C4790</stp>
        <tr r="G118" s="7"/>
      </tp>
      <tp>
        <v>0</v>
        <stp/>
        <stp>BID</stp>
        <stp>.SPXW240129P4795</stp>
        <tr r="M119" s="7"/>
      </tp>
      <tp>
        <v>0</v>
        <stp/>
        <stp>BID</stp>
        <stp>.SPXW240129P4790</stp>
        <tr r="M118" s="7"/>
      </tp>
      <tp t="s">
        <v>C</v>
        <stp/>
        <stp>BX</stp>
        <stp>.SPXW240129C5020</stp>
        <tr r="H164" s="7"/>
      </tp>
      <tp t="s">
        <v>C</v>
        <stp/>
        <stp>AX</stp>
        <stp>.SPXW240129C4325</stp>
        <tr r="J42" s="7"/>
      </tp>
      <tp t="s">
        <v>C</v>
        <stp/>
        <stp>BX</stp>
        <stp>.SPXW240129C5025</stp>
        <tr r="H165" s="7"/>
      </tp>
      <tp t="s">
        <v>C</v>
        <stp/>
        <stp>BX</stp>
        <stp>.SPXW240129P5020</stp>
        <tr r="N164" s="7"/>
      </tp>
      <tp t="s">
        <v>C</v>
        <stp/>
        <stp>AX</stp>
        <stp>.SPXW240129P4325</stp>
        <tr r="P42" s="7"/>
      </tp>
      <tp t="s">
        <v>C</v>
        <stp/>
        <stp>BX</stp>
        <stp>.SPXW240129P5025</stp>
        <tr r="N165" s="7"/>
      </tp>
      <tp t="s">
        <v>C</v>
        <stp/>
        <stp>BX</stp>
        <stp>.SPXW240129C5030</stp>
        <tr r="H166" s="7"/>
      </tp>
      <tp t="s">
        <v>C</v>
        <stp/>
        <stp>BX</stp>
        <stp>.SPXW240129C5035</stp>
        <tr r="H167" s="7"/>
      </tp>
      <tp t="s">
        <v>C</v>
        <stp/>
        <stp>BX</stp>
        <stp>.SPXW240129P5030</stp>
        <tr r="N166" s="7"/>
      </tp>
      <tp t="s">
        <v>C</v>
        <stp/>
        <stp>BX</stp>
        <stp>.SPXW240129P5035</stp>
        <tr r="N167" s="7"/>
      </tp>
      <tp t="s">
        <v>C</v>
        <stp/>
        <stp>AX</stp>
        <stp>.SPXW240129C4300</stp>
        <tr r="J41" s="7"/>
      </tp>
      <tp t="s">
        <v>C</v>
        <stp/>
        <stp>BX</stp>
        <stp>.SPXW240129C4000</stp>
        <tr r="H31" s="7"/>
      </tp>
      <tp t="s">
        <v>C</v>
        <stp/>
        <stp>AX</stp>
        <stp>.SPXW240129C5300</stp>
        <tr r="J181" s="7"/>
      </tp>
      <tp t="s">
        <v>C</v>
        <stp/>
        <stp>BX</stp>
        <stp>.SPXW240129C5000</stp>
        <tr r="H160" s="7"/>
      </tp>
      <tp t="s">
        <v>C</v>
        <stp/>
        <stp>BX</stp>
        <stp>.SPXW240129C6000</stp>
        <tr r="H186" s="7"/>
      </tp>
      <tp t="s">
        <v>C</v>
        <stp/>
        <stp>BX</stp>
        <stp>.SPXW240129C2000</stp>
        <tr r="H14" s="7"/>
      </tp>
      <tp t="s">
        <v>C</v>
        <stp/>
        <stp>BX</stp>
        <stp>.SPXW240129C3000</stp>
        <tr r="H19" s="7"/>
      </tp>
      <tp t="s">
        <v>C</v>
        <stp/>
        <stp>BX</stp>
        <stp>.SPXW240129C5005</stp>
        <tr r="H161" s="7"/>
      </tp>
      <tp t="s">
        <v>C</v>
        <stp/>
        <stp>AX</stp>
        <stp>.SPXW240129P4300</stp>
        <tr r="P41" s="7"/>
      </tp>
      <tp t="s">
        <v>C</v>
        <stp/>
        <stp>BX</stp>
        <stp>.SPXW240129P4000</stp>
        <tr r="N31" s="7"/>
      </tp>
      <tp t="s">
        <v>C</v>
        <stp/>
        <stp>AX</stp>
        <stp>.SPXW240129P5300</stp>
        <tr r="P181" s="7"/>
      </tp>
      <tp t="s">
        <v>C</v>
        <stp/>
        <stp>BX</stp>
        <stp>.SPXW240129P5000</stp>
        <tr r="N160" s="7"/>
      </tp>
      <tp t="s">
        <v>C</v>
        <stp/>
        <stp>BX</stp>
        <stp>.SPXW240129P6000</stp>
        <tr r="N186" s="7"/>
      </tp>
      <tp t="s">
        <v>C</v>
        <stp/>
        <stp>BX</stp>
        <stp>.SPXW240129P2000</stp>
        <tr r="N14" s="7"/>
      </tp>
      <tp t="s">
        <v>C</v>
        <stp/>
        <stp>BX</stp>
        <stp>.SPXW240129P3000</stp>
        <tr r="N19" s="7"/>
      </tp>
      <tp t="s">
        <v>C</v>
        <stp/>
        <stp>BX</stp>
        <stp>.SPXW240129P5005</stp>
        <tr r="N161" s="7"/>
      </tp>
      <tp t="s">
        <v>C</v>
        <stp/>
        <stp>BX</stp>
        <stp>.SPXW240129C5010</stp>
        <tr r="H162" s="7"/>
      </tp>
      <tp t="s">
        <v>C</v>
        <stp/>
        <stp>BX</stp>
        <stp>.SPXW240129C5015</stp>
        <tr r="H163" s="7"/>
      </tp>
      <tp t="s">
        <v>C</v>
        <stp/>
        <stp>BX</stp>
        <stp>.SPXW240129P5010</stp>
        <tr r="N162" s="7"/>
      </tp>
      <tp t="s">
        <v>C</v>
        <stp/>
        <stp>BX</stp>
        <stp>.SPXW240129P5015</stp>
        <tr r="N163" s="7"/>
      </tp>
      <tp t="s">
        <v>C</v>
        <stp/>
        <stp>BX</stp>
        <stp>.SPXW240129C5060</stp>
        <tr r="H170" s="7"/>
      </tp>
      <tp t="s">
        <v>C</v>
        <stp/>
        <stp>BX</stp>
        <stp>.SPXW240129P5060</stp>
        <tr r="N170" s="7"/>
      </tp>
      <tp t="s">
        <v>C</v>
        <stp/>
        <stp>AX</stp>
        <stp>.SPXW240129C4370</stp>
        <tr r="J44" s="7"/>
      </tp>
      <tp t="s">
        <v>C</v>
        <stp/>
        <stp>BX</stp>
        <stp>.SPXW240129C5070</stp>
        <tr r="H171" s="7"/>
      </tp>
      <tp t="s">
        <v>C</v>
        <stp/>
        <stp>AX</stp>
        <stp>.SPXW240129C4375</stp>
        <tr r="J45" s="7"/>
      </tp>
      <tp t="s">
        <v>C</v>
        <stp/>
        <stp>BX</stp>
        <stp>.SPXW240129C5075</stp>
        <tr r="H172" s="7"/>
      </tp>
      <tp t="s">
        <v>C</v>
        <stp/>
        <stp>AX</stp>
        <stp>.SPXW240129P4370</stp>
        <tr r="P44" s="7"/>
      </tp>
      <tp t="s">
        <v>C</v>
        <stp/>
        <stp>BX</stp>
        <stp>.SPXW240129P5070</stp>
        <tr r="N171" s="7"/>
      </tp>
      <tp t="s">
        <v>C</v>
        <stp/>
        <stp>AX</stp>
        <stp>.SPXW240129P4375</stp>
        <tr r="P45" s="7"/>
      </tp>
      <tp t="s">
        <v>C</v>
        <stp/>
        <stp>BX</stp>
        <stp>.SPXW240129P5075</stp>
        <tr r="N172" s="7"/>
      </tp>
      <tp t="s">
        <v>C</v>
        <stp/>
        <stp>BX</stp>
        <stp>.SPXW240129C5040</stp>
        <tr r="H168" s="7"/>
      </tp>
      <tp t="s">
        <v>C</v>
        <stp/>
        <stp>BX</stp>
        <stp>.SPXW240129P5040</stp>
        <tr r="N168" s="7"/>
      </tp>
      <tp t="s">
        <v>C</v>
        <stp/>
        <stp>AX</stp>
        <stp>.SPXW240129C4350</stp>
        <tr r="J43" s="7"/>
      </tp>
      <tp t="s">
        <v>C</v>
        <stp/>
        <stp>BX</stp>
        <stp>.SPXW240129C4050</stp>
        <tr r="H32" s="7"/>
      </tp>
      <tp t="s">
        <v>C</v>
        <stp/>
        <stp>BX</stp>
        <stp>.SPXW240129C5050</stp>
        <tr r="H169" s="7"/>
      </tp>
      <tp t="s">
        <v>C</v>
        <stp/>
        <stp>AX</stp>
        <stp>.SPXW240129P4350</stp>
        <tr r="P43" s="7"/>
      </tp>
      <tp t="s">
        <v>C</v>
        <stp/>
        <stp>BX</stp>
        <stp>.SPXW240129P4050</stp>
        <tr r="N32" s="7"/>
      </tp>
      <tp t="s">
        <v>C</v>
        <stp/>
        <stp>BX</stp>
        <stp>.SPXW240129P5050</stp>
        <tr r="N169" s="7"/>
      </tp>
      <tp t="s">
        <v>C</v>
        <stp/>
        <stp>AX</stp>
        <stp>.SPXW240129C4380</stp>
        <tr r="J46" s="7"/>
      </tp>
      <tp t="s">
        <v>C</v>
        <stp/>
        <stp>BX</stp>
        <stp>.SPXW240129C5080</stp>
        <tr r="H173" s="7"/>
      </tp>
      <tp t="s">
        <v>C</v>
        <stp/>
        <stp>AX</stp>
        <stp>.SPXW240129P4380</stp>
        <tr r="P46" s="7"/>
      </tp>
      <tp t="s">
        <v>C</v>
        <stp/>
        <stp>BX</stp>
        <stp>.SPXW240129P5080</stp>
        <tr r="N173" s="7"/>
      </tp>
      <tp t="s">
        <v>C</v>
        <stp/>
        <stp>AX</stp>
        <stp>.SPXW240129C4390</stp>
        <tr r="J47" s="7"/>
      </tp>
      <tp t="s">
        <v>C</v>
        <stp/>
        <stp>AX</stp>
        <stp>.SPXW240129P4390</stp>
        <tr r="P47" s="7"/>
      </tp>
      <tp>
        <v>314.3</v>
        <stp/>
        <stp>BID</stp>
        <stp>.SPXW240129C4605</stp>
        <tr r="G81" s="7"/>
      </tp>
      <tp>
        <v>3319.3</v>
        <stp/>
        <stp>BID</stp>
        <stp>.SPXW240129C1600</stp>
        <tr r="G12" s="7"/>
      </tp>
      <tp>
        <v>1319.3</v>
        <stp/>
        <stp>BID</stp>
        <stp>.SPXW240129C3600</stp>
        <tr r="G23" s="7"/>
      </tp>
      <tp>
        <v>2319.3000000000002</v>
        <stp/>
        <stp>BID</stp>
        <stp>.SPXW240129C2600</stp>
        <tr r="G17" s="7"/>
      </tp>
      <tp>
        <v>0</v>
        <stp/>
        <stp>BID</stp>
        <stp>.SPXW240129C5600</stp>
        <tr r="G184" s="7"/>
      </tp>
      <tp>
        <v>319.3</v>
        <stp/>
        <stp>BID</stp>
        <stp>.SPXW240129C4600</stp>
        <tr r="G80" s="7"/>
      </tp>
      <tp>
        <v>0</v>
        <stp/>
        <stp>BID</stp>
        <stp>.SPXW240129P4605</stp>
        <tr r="M81" s="7"/>
      </tp>
      <tp>
        <v>0</v>
        <stp/>
        <stp>BID</stp>
        <stp>.SPXW240129P1600</stp>
        <tr r="M12" s="7"/>
      </tp>
      <tp>
        <v>0</v>
        <stp/>
        <stp>BID</stp>
        <stp>.SPXW240129P3600</stp>
        <tr r="M23" s="7"/>
      </tp>
      <tp>
        <v>0</v>
        <stp/>
        <stp>BID</stp>
        <stp>.SPXW240129P2600</stp>
        <tr r="M17" s="7"/>
      </tp>
      <tp>
        <v>662.3</v>
        <stp/>
        <stp>BID</stp>
        <stp>.SPXW240129P5600</stp>
        <tr r="M184" s="7"/>
      </tp>
      <tp>
        <v>0</v>
        <stp/>
        <stp>BID</stp>
        <stp>.SPXW240129P4600</stp>
        <tr r="M80" s="7"/>
      </tp>
      <tp>
        <v>304.3</v>
        <stp/>
        <stp>BID</stp>
        <stp>.SPXW240129C4615</stp>
        <tr r="G83" s="7"/>
      </tp>
      <tp>
        <v>309.3</v>
        <stp/>
        <stp>BID</stp>
        <stp>.SPXW240129C4610</stp>
        <tr r="G82" s="7"/>
      </tp>
      <tp>
        <v>0</v>
        <stp/>
        <stp>BID</stp>
        <stp>.SPXW240129P4615</stp>
        <tr r="M83" s="7"/>
      </tp>
      <tp>
        <v>0</v>
        <stp/>
        <stp>BID</stp>
        <stp>.SPXW240129P4610</stp>
        <tr r="M82" s="7"/>
      </tp>
      <tp>
        <v>294.3</v>
        <stp/>
        <stp>BID</stp>
        <stp>.SPXW240129C4625</stp>
        <tr r="G85" s="7"/>
      </tp>
      <tp>
        <v>299.3</v>
        <stp/>
        <stp>BID</stp>
        <stp>.SPXW240129C4620</stp>
        <tr r="G84" s="7"/>
      </tp>
      <tp>
        <v>0</v>
        <stp/>
        <stp>BID</stp>
        <stp>.SPXW240129P4625</stp>
        <tr r="M85" s="7"/>
      </tp>
      <tp>
        <v>0</v>
        <stp/>
        <stp>BID</stp>
        <stp>.SPXW240129P4620</stp>
        <tr r="M84" s="7"/>
      </tp>
      <tp>
        <v>284.3</v>
        <stp/>
        <stp>BID</stp>
        <stp>.SPXW240129C4635</stp>
        <tr r="G87" s="7"/>
      </tp>
      <tp>
        <v>289.3</v>
        <stp/>
        <stp>BID</stp>
        <stp>.SPXW240129C4630</stp>
        <tr r="G86" s="7"/>
      </tp>
      <tp>
        <v>0</v>
        <stp/>
        <stp>BID</stp>
        <stp>.SPXW240129P4635</stp>
        <tr r="M87" s="7"/>
      </tp>
      <tp>
        <v>0</v>
        <stp/>
        <stp>BID</stp>
        <stp>.SPXW240129P4630</stp>
        <tr r="M86" s="7"/>
      </tp>
      <tp>
        <v>274.3</v>
        <stp/>
        <stp>BID</stp>
        <stp>.SPXW240129C4645</stp>
        <tr r="G89" s="7"/>
      </tp>
      <tp>
        <v>279.3</v>
        <stp/>
        <stp>BID</stp>
        <stp>.SPXW240129C4640</stp>
        <tr r="G88" s="7"/>
      </tp>
      <tp>
        <v>0</v>
        <stp/>
        <stp>BID</stp>
        <stp>.SPXW240129P4645</stp>
        <tr r="M89" s="7"/>
      </tp>
      <tp>
        <v>0</v>
        <stp/>
        <stp>BID</stp>
        <stp>.SPXW240129P4640</stp>
        <tr r="M88" s="7"/>
      </tp>
      <tp>
        <v>264.3</v>
        <stp/>
        <stp>BID</stp>
        <stp>.SPXW240129C4655</stp>
        <tr r="G91" s="7"/>
      </tp>
      <tp>
        <v>1269.3</v>
        <stp/>
        <stp>BID</stp>
        <stp>.SPXW240129C3650</stp>
        <tr r="G24" s="7"/>
      </tp>
      <tp>
        <v>269.3</v>
        <stp/>
        <stp>BID</stp>
        <stp>.SPXW240129C4650</stp>
        <tr r="G90" s="7"/>
      </tp>
      <tp>
        <v>0</v>
        <stp/>
        <stp>BID</stp>
        <stp>.SPXW240129P4655</stp>
        <tr r="M91" s="7"/>
      </tp>
      <tp>
        <v>0</v>
        <stp/>
        <stp>BID</stp>
        <stp>.SPXW240129P3650</stp>
        <tr r="M24" s="7"/>
      </tp>
      <tp>
        <v>0</v>
        <stp/>
        <stp>BID</stp>
        <stp>.SPXW240129P4650</stp>
        <tr r="M90" s="7"/>
      </tp>
      <tp>
        <v>254.3</v>
        <stp/>
        <stp>BID</stp>
        <stp>.SPXW240129C4665</stp>
        <tr r="G93" s="7"/>
      </tp>
      <tp>
        <v>259.3</v>
        <stp/>
        <stp>BID</stp>
        <stp>.SPXW240129C4660</stp>
        <tr r="G92" s="7"/>
      </tp>
      <tp>
        <v>0</v>
        <stp/>
        <stp>BID</stp>
        <stp>.SPXW240129P4665</stp>
        <tr r="M93" s="7"/>
      </tp>
      <tp>
        <v>0</v>
        <stp/>
        <stp>BID</stp>
        <stp>.SPXW240129P4660</stp>
        <tr r="M92" s="7"/>
      </tp>
      <tp>
        <v>244.3</v>
        <stp/>
        <stp>BID</stp>
        <stp>.SPXW240129C4675</stp>
        <tr r="G95" s="7"/>
      </tp>
      <tp>
        <v>249.3</v>
        <stp/>
        <stp>BID</stp>
        <stp>.SPXW240129C4670</stp>
        <tr r="G94" s="7"/>
      </tp>
      <tp>
        <v>0</v>
        <stp/>
        <stp>BID</stp>
        <stp>.SPXW240129P4675</stp>
        <tr r="M95" s="7"/>
      </tp>
      <tp>
        <v>0</v>
        <stp/>
        <stp>BID</stp>
        <stp>.SPXW240129P4670</stp>
        <tr r="M94" s="7"/>
      </tp>
      <tp>
        <v>234.3</v>
        <stp/>
        <stp>BID</stp>
        <stp>.SPXW240129C4685</stp>
        <tr r="G97" s="7"/>
      </tp>
      <tp>
        <v>239.3</v>
        <stp/>
        <stp>BID</stp>
        <stp>.SPXW240129C4680</stp>
        <tr r="G96" s="7"/>
      </tp>
      <tp>
        <v>0</v>
        <stp/>
        <stp>BID</stp>
        <stp>.SPXW240129P4685</stp>
        <tr r="M97" s="7"/>
      </tp>
      <tp>
        <v>0</v>
        <stp/>
        <stp>BID</stp>
        <stp>.SPXW240129P4680</stp>
        <tr r="M96" s="7"/>
      </tp>
      <tp>
        <v>224.3</v>
        <stp/>
        <stp>BID</stp>
        <stp>.SPXW240129C4695</stp>
        <tr r="G99" s="7"/>
      </tp>
      <tp>
        <v>229.3</v>
        <stp/>
        <stp>BID</stp>
        <stp>.SPXW240129C4690</stp>
        <tr r="G98" s="7"/>
      </tp>
      <tp>
        <v>0</v>
        <stp/>
        <stp>BID</stp>
        <stp>.SPXW240129P4695</stp>
        <tr r="M99" s="7"/>
      </tp>
      <tp>
        <v>0</v>
        <stp/>
        <stp>BID</stp>
        <stp>.SPXW240129P4690</stp>
        <tr r="M98" s="7"/>
      </tp>
      <tp t="s">
        <v>C</v>
        <stp/>
        <stp>AX</stp>
        <stp>.SPXW240129C4225</stp>
        <tr r="J38" s="7"/>
      </tp>
      <tp t="s">
        <v>C</v>
        <stp/>
        <stp>BX</stp>
        <stp>.SPXW240129C4125</stp>
        <tr r="H34" s="7"/>
      </tp>
      <tp t="s">
        <v>C</v>
        <stp/>
        <stp>AX</stp>
        <stp>.SPXW240129C5225</stp>
        <tr r="J179" s="7"/>
      </tp>
      <tp t="s">
        <v>C</v>
        <stp/>
        <stp>BX</stp>
        <stp>.SPXW240129C5125</stp>
        <tr r="H175" s="7"/>
      </tp>
      <tp t="s">
        <v>C</v>
        <stp/>
        <stp>AX</stp>
        <stp>.SPXW240129P4225</stp>
        <tr r="P38" s="7"/>
      </tp>
      <tp t="s">
        <v>C</v>
        <stp/>
        <stp>BX</stp>
        <stp>.SPXW240129P4125</stp>
        <tr r="N34" s="7"/>
      </tp>
      <tp t="s">
        <v>C</v>
        <stp/>
        <stp>AX</stp>
        <stp>.SPXW240129P5225</stp>
        <tr r="P179" s="7"/>
      </tp>
      <tp t="s">
        <v>C</v>
        <stp/>
        <stp>BX</stp>
        <stp>.SPXW240129P5125</stp>
        <tr r="N175" s="7"/>
      </tp>
      <tp t="s">
        <v>C</v>
        <stp/>
        <stp>AX</stp>
        <stp>.SPXW240129C4200</stp>
        <tr r="J37" s="7"/>
      </tp>
      <tp t="s">
        <v>C</v>
        <stp/>
        <stp>BX</stp>
        <stp>.SPXW240129C4100</stp>
        <tr r="H33" s="7"/>
      </tp>
      <tp t="s">
        <v>C</v>
        <stp/>
        <stp>AX</stp>
        <stp>.SPXW240129C5200</stp>
        <tr r="J178" s="7"/>
      </tp>
      <tp t="s">
        <v>C</v>
        <stp/>
        <stp>BX</stp>
        <stp>.SPXW240129C5100</stp>
        <tr r="H174" s="7"/>
      </tp>
      <tp t="s">
        <v>C</v>
        <stp/>
        <stp>AX</stp>
        <stp>.SPXW240129C6200</stp>
        <tr r="J187" s="7"/>
      </tp>
      <tp t="s">
        <v>C</v>
        <stp/>
        <stp>AX</stp>
        <stp>.SPXW240129C1200</stp>
        <tr r="J10" s="7"/>
      </tp>
      <tp t="s">
        <v>C</v>
        <stp/>
        <stp>AX</stp>
        <stp>.SPXW240129C2200</stp>
        <tr r="J15" s="7"/>
      </tp>
      <tp t="s">
        <v>C</v>
        <stp/>
        <stp>AX</stp>
        <stp>.SPXW240129C3200</stp>
        <tr r="J20" s="7"/>
      </tp>
      <tp t="s">
        <v>C</v>
        <stp/>
        <stp>AX</stp>
        <stp>.SPXW240129P4200</stp>
        <tr r="P37" s="7"/>
      </tp>
      <tp t="s">
        <v>C</v>
        <stp/>
        <stp>BX</stp>
        <stp>.SPXW240129P4100</stp>
        <tr r="N33" s="7"/>
      </tp>
      <tp t="s">
        <v>C</v>
        <stp/>
        <stp>AX</stp>
        <stp>.SPXW240129P5200</stp>
        <tr r="P178" s="7"/>
      </tp>
      <tp t="s">
        <v>C</v>
        <stp/>
        <stp>BX</stp>
        <stp>.SPXW240129P5100</stp>
        <tr r="N174" s="7"/>
      </tp>
      <tp t="s">
        <v>C</v>
        <stp/>
        <stp>AX</stp>
        <stp>.SPXW240129P6200</stp>
        <tr r="P187" s="7"/>
      </tp>
      <tp t="s">
        <v>C</v>
        <stp/>
        <stp>AX</stp>
        <stp>.SPXW240129P1200</stp>
        <tr r="P10" s="7"/>
      </tp>
      <tp t="s">
        <v>C</v>
        <stp/>
        <stp>AX</stp>
        <stp>.SPXW240129P2200</stp>
        <tr r="P15" s="7"/>
      </tp>
      <tp t="s">
        <v>C</v>
        <stp/>
        <stp>AX</stp>
        <stp>.SPXW240129P3200</stp>
        <tr r="P20" s="7"/>
      </tp>
      <tp t="s">
        <v>C</v>
        <stp/>
        <stp>AX</stp>
        <stp>.SPXW240129C4275</stp>
        <tr r="J40" s="7"/>
      </tp>
      <tp t="s">
        <v>C</v>
        <stp/>
        <stp>BX</stp>
        <stp>.SPXW240129C4175</stp>
        <tr r="H36" s="7"/>
      </tp>
      <tp t="s">
        <v>C</v>
        <stp/>
        <stp>BX</stp>
        <stp>.SPXW240129C5175</stp>
        <tr r="H177" s="7"/>
      </tp>
      <tp t="s">
        <v>C</v>
        <stp/>
        <stp>AX</stp>
        <stp>.SPXW240129P4275</stp>
        <tr r="P40" s="7"/>
      </tp>
      <tp t="s">
        <v>C</v>
        <stp/>
        <stp>BX</stp>
        <stp>.SPXW240129P4175</stp>
        <tr r="N36" s="7"/>
      </tp>
      <tp t="s">
        <v>C</v>
        <stp/>
        <stp>BX</stp>
        <stp>.SPXW240129P5175</stp>
        <tr r="N177" s="7"/>
      </tp>
      <tp t="s">
        <v>C</v>
        <stp/>
        <stp>AX</stp>
        <stp>.SPXW240129C4250</stp>
        <tr r="J39" s="7"/>
      </tp>
      <tp t="s">
        <v>C</v>
        <stp/>
        <stp>BX</stp>
        <stp>.SPXW240129C4150</stp>
        <tr r="H35" s="7"/>
      </tp>
      <tp t="s">
        <v>C</v>
        <stp/>
        <stp>AX</stp>
        <stp>.SPXW240129C5250</stp>
        <tr r="J180" s="7"/>
      </tp>
      <tp t="s">
        <v>C</v>
        <stp/>
        <stp>BX</stp>
        <stp>.SPXW240129C5150</stp>
        <tr r="H176" s="7"/>
      </tp>
      <tp t="s">
        <v>C</v>
        <stp/>
        <stp>AX</stp>
        <stp>.SPXW240129P4250</stp>
        <tr r="P39" s="7"/>
      </tp>
      <tp t="s">
        <v>C</v>
        <stp/>
        <stp>BX</stp>
        <stp>.SPXW240129P4150</stp>
        <tr r="N35" s="7"/>
      </tp>
      <tp t="s">
        <v>C</v>
        <stp/>
        <stp>AX</stp>
        <stp>.SPXW240129P5250</stp>
        <tr r="P180" s="7"/>
      </tp>
      <tp t="s">
        <v>C</v>
        <stp/>
        <stp>BX</stp>
        <stp>.SPXW240129P5150</stp>
        <tr r="N176" s="7"/>
      </tp>
      <tp>
        <v>0</v>
        <stp/>
        <stp>BID</stp>
        <stp>.SPXW240129C5100</stp>
        <tr r="G174" s="7"/>
      </tp>
      <tp>
        <v>819.3</v>
        <stp/>
        <stp>BID</stp>
        <stp>.SPXW240129C4100</stp>
        <tr r="G33" s="7"/>
      </tp>
      <tp>
        <v>165.1</v>
        <stp/>
        <stp>BID</stp>
        <stp>.SPXW240129P5100</stp>
        <tr r="M174" s="7"/>
      </tp>
      <tp>
        <v>0</v>
        <stp/>
        <stp>BID</stp>
        <stp>.SPXW240129P4100</stp>
        <tr r="M33" s="7"/>
      </tp>
      <tp>
        <v>0</v>
        <stp/>
        <stp>BID</stp>
        <stp>.SPXW240129C5125</stp>
        <tr r="G175" s="7"/>
      </tp>
      <tp>
        <v>794.3</v>
        <stp/>
        <stp>BID</stp>
        <stp>.SPXW240129C4125</stp>
        <tr r="G34" s="7"/>
      </tp>
      <tp>
        <v>190.1</v>
        <stp/>
        <stp>BID</stp>
        <stp>.SPXW240129P5125</stp>
        <tr r="M175" s="7"/>
      </tp>
      <tp>
        <v>0</v>
        <stp/>
        <stp>BID</stp>
        <stp>.SPXW240129P4125</stp>
        <tr r="M34" s="7"/>
      </tp>
      <tp>
        <v>0</v>
        <stp/>
        <stp>BID</stp>
        <stp>.SPXW240129C5150</stp>
        <tr r="G176" s="7"/>
      </tp>
      <tp>
        <v>769.3</v>
        <stp/>
        <stp>BID</stp>
        <stp>.SPXW240129C4150</stp>
        <tr r="G35" s="7"/>
      </tp>
      <tp>
        <v>212.5</v>
        <stp/>
        <stp>BID</stp>
        <stp>.SPXW240129P5150</stp>
        <tr r="M176" s="7"/>
      </tp>
      <tp>
        <v>0</v>
        <stp/>
        <stp>BID</stp>
        <stp>.SPXW240129P4150</stp>
        <tr r="M35" s="7"/>
      </tp>
      <tp>
        <v>0</v>
        <stp/>
        <stp>BID</stp>
        <stp>.SPXW240129C5175</stp>
        <tr r="G177" s="7"/>
      </tp>
      <tp>
        <v>744.3</v>
        <stp/>
        <stp>BID</stp>
        <stp>.SPXW240129C4175</stp>
        <tr r="G36" s="7"/>
      </tp>
      <tp>
        <v>237.5</v>
        <stp/>
        <stp>BID</stp>
        <stp>.SPXW240129P5175</stp>
        <tr r="M177" s="7"/>
      </tp>
      <tp>
        <v>0</v>
        <stp/>
        <stp>BID</stp>
        <stp>.SPXW240129P4175</stp>
        <tr r="M36" s="7"/>
      </tp>
      <tp t="s">
        <v>C</v>
        <stp/>
        <stp>AX</stp>
        <stp>.SPXW240129C4520</stp>
        <tr r="J64" s="7"/>
      </tp>
      <tp t="s">
        <v>C</v>
        <stp/>
        <stp>BX</stp>
        <stp>.SPXW240129C4620</stp>
        <tr r="H84" s="7"/>
      </tp>
      <tp t="s">
        <v>C</v>
        <stp/>
        <stp>AX</stp>
        <stp>.SPXW240129C4525</stp>
        <tr r="J65" s="7"/>
      </tp>
      <tp t="s">
        <v>C</v>
        <stp/>
        <stp>BX</stp>
        <stp>.SPXW240129C4625</stp>
        <tr r="H85" s="7"/>
      </tp>
      <tp t="s">
        <v>C</v>
        <stp/>
        <stp>AX</stp>
        <stp>.SPXW240129P4520</stp>
        <tr r="P64" s="7"/>
      </tp>
      <tp t="s">
        <v>C</v>
        <stp/>
        <stp>BX</stp>
        <stp>.SPXW240129P4620</stp>
        <tr r="N84" s="7"/>
      </tp>
      <tp t="s">
        <v>C</v>
        <stp/>
        <stp>AX</stp>
        <stp>.SPXW240129P4525</stp>
        <tr r="P65" s="7"/>
      </tp>
      <tp t="s">
        <v>C</v>
        <stp/>
        <stp>BX</stp>
        <stp>.SPXW240129P4625</stp>
        <tr r="N85" s="7"/>
      </tp>
      <tp t="s">
        <v>C</v>
        <stp/>
        <stp>AX</stp>
        <stp>.SPXW240129C4530</stp>
        <tr r="J66" s="7"/>
      </tp>
      <tp t="s">
        <v>C</v>
        <stp/>
        <stp>BX</stp>
        <stp>.SPXW240129C4630</stp>
        <tr r="H86" s="7"/>
      </tp>
      <tp t="s">
        <v>C</v>
        <stp/>
        <stp>AX</stp>
        <stp>.SPXW240129C4535</stp>
        <tr r="J67" s="7"/>
      </tp>
      <tp t="s">
        <v>C</v>
        <stp/>
        <stp>BX</stp>
        <stp>.SPXW240129C4635</stp>
        <tr r="H87" s="7"/>
      </tp>
      <tp t="s">
        <v>C</v>
        <stp/>
        <stp>AX</stp>
        <stp>.SPXW240129P4530</stp>
        <tr r="P66" s="7"/>
      </tp>
      <tp t="s">
        <v>C</v>
        <stp/>
        <stp>BX</stp>
        <stp>.SPXW240129P4630</stp>
        <tr r="N86" s="7"/>
      </tp>
      <tp t="s">
        <v>C</v>
        <stp/>
        <stp>AX</stp>
        <stp>.SPXW240129P4535</stp>
        <tr r="P67" s="7"/>
      </tp>
      <tp t="s">
        <v>C</v>
        <stp/>
        <stp>BX</stp>
        <stp>.SPXW240129P4635</stp>
        <tr r="N87" s="7"/>
      </tp>
      <tp t="s">
        <v>C</v>
        <stp/>
        <stp>AX</stp>
        <stp>.SPXW240129C4500</stp>
        <tr r="J60" s="7"/>
      </tp>
      <tp t="s">
        <v>C</v>
        <stp/>
        <stp>BX</stp>
        <stp>.SPXW240129C4600</stp>
        <tr r="H80" s="7"/>
      </tp>
      <tp t="s">
        <v>C</v>
        <stp/>
        <stp>AX</stp>
        <stp>.SPXW240129C5500</stp>
        <tr r="J183" s="7"/>
      </tp>
      <tp t="s">
        <v>C</v>
        <stp/>
        <stp>BX</stp>
        <stp>.SPXW240129C5600</stp>
        <tr r="H184" s="7"/>
      </tp>
      <tp t="s">
        <v>C</v>
        <stp/>
        <stp>BX</stp>
        <stp>.SPXW240129C1600</stp>
        <tr r="H12" s="7"/>
      </tp>
      <tp t="s">
        <v>C</v>
        <stp/>
        <stp>BX</stp>
        <stp>.SPXW240129C2600</stp>
        <tr r="H17" s="7"/>
      </tp>
      <tp t="s">
        <v>C</v>
        <stp/>
        <stp>AX</stp>
        <stp>.SPXW240129C3500</stp>
        <tr r="J22" s="7"/>
      </tp>
      <tp t="s">
        <v>C</v>
        <stp/>
        <stp>BX</stp>
        <stp>.SPXW240129C3600</stp>
        <tr r="H23" s="7"/>
      </tp>
      <tp t="s">
        <v>C</v>
        <stp/>
        <stp>AX</stp>
        <stp>.SPXW240129C4505</stp>
        <tr r="J61" s="7"/>
      </tp>
      <tp t="s">
        <v>C</v>
        <stp/>
        <stp>BX</stp>
        <stp>.SPXW240129C4605</stp>
        <tr r="H81" s="7"/>
      </tp>
      <tp t="s">
        <v>C</v>
        <stp/>
        <stp>AX</stp>
        <stp>.SPXW240129P4500</stp>
        <tr r="P60" s="7"/>
      </tp>
      <tp t="s">
        <v>C</v>
        <stp/>
        <stp>BX</stp>
        <stp>.SPXW240129P4600</stp>
        <tr r="N80" s="7"/>
      </tp>
      <tp t="s">
        <v>C</v>
        <stp/>
        <stp>AX</stp>
        <stp>.SPXW240129P5500</stp>
        <tr r="P183" s="7"/>
      </tp>
      <tp t="s">
        <v>C</v>
        <stp/>
        <stp>BX</stp>
        <stp>.SPXW240129P5600</stp>
        <tr r="N184" s="7"/>
      </tp>
      <tp t="s">
        <v>C</v>
        <stp/>
        <stp>BX</stp>
        <stp>.SPXW240129P1600</stp>
        <tr r="N12" s="7"/>
      </tp>
      <tp t="s">
        <v>C</v>
        <stp/>
        <stp>BX</stp>
        <stp>.SPXW240129P2600</stp>
        <tr r="N17" s="7"/>
      </tp>
      <tp t="s">
        <v>C</v>
        <stp/>
        <stp>AX</stp>
        <stp>.SPXW240129P3500</stp>
        <tr r="P22" s="7"/>
      </tp>
      <tp t="s">
        <v>C</v>
        <stp/>
        <stp>BX</stp>
        <stp>.SPXW240129P3600</stp>
        <tr r="N23" s="7"/>
      </tp>
      <tp t="s">
        <v>C</v>
        <stp/>
        <stp>AX</stp>
        <stp>.SPXW240129P4505</stp>
        <tr r="P61" s="7"/>
      </tp>
      <tp t="s">
        <v>C</v>
        <stp/>
        <stp>BX</stp>
        <stp>.SPXW240129P4605</stp>
        <tr r="N81" s="7"/>
      </tp>
      <tp t="s">
        <v>C</v>
        <stp/>
        <stp>AX</stp>
        <stp>.SPXW240129C4510</stp>
        <tr r="J62" s="7"/>
      </tp>
      <tp t="s">
        <v>C</v>
        <stp/>
        <stp>BX</stp>
        <stp>.SPXW240129C4610</stp>
        <tr r="H82" s="7"/>
      </tp>
      <tp t="s">
        <v>C</v>
        <stp/>
        <stp>AX</stp>
        <stp>.SPXW240129C4515</stp>
        <tr r="J63" s="7"/>
      </tp>
      <tp t="s">
        <v>C</v>
        <stp/>
        <stp>BX</stp>
        <stp>.SPXW240129C4615</stp>
        <tr r="H83" s="7"/>
      </tp>
      <tp t="s">
        <v>C</v>
        <stp/>
        <stp>AX</stp>
        <stp>.SPXW240129P4510</stp>
        <tr r="P62" s="7"/>
      </tp>
      <tp t="s">
        <v>C</v>
        <stp/>
        <stp>BX</stp>
        <stp>.SPXW240129P4610</stp>
        <tr r="N82" s="7"/>
      </tp>
      <tp t="s">
        <v>C</v>
        <stp/>
        <stp>AX</stp>
        <stp>.SPXW240129P4515</stp>
        <tr r="P63" s="7"/>
      </tp>
      <tp t="s">
        <v>C</v>
        <stp/>
        <stp>BX</stp>
        <stp>.SPXW240129P4615</stp>
        <tr r="N83" s="7"/>
      </tp>
      <tp t="s">
        <v>C</v>
        <stp/>
        <stp>AX</stp>
        <stp>.SPXW240129C4560</stp>
        <tr r="J72" s="7"/>
      </tp>
      <tp t="s">
        <v>C</v>
        <stp/>
        <stp>BX</stp>
        <stp>.SPXW240129C4660</stp>
        <tr r="H92" s="7"/>
      </tp>
      <tp t="s">
        <v>C</v>
        <stp/>
        <stp>AX</stp>
        <stp>.SPXW240129C4565</stp>
        <tr r="J73" s="7"/>
      </tp>
      <tp t="s">
        <v>C</v>
        <stp/>
        <stp>BX</stp>
        <stp>.SPXW240129C4665</stp>
        <tr r="H93" s="7"/>
      </tp>
      <tp t="s">
        <v>C</v>
        <stp/>
        <stp>AX</stp>
        <stp>.SPXW240129P4560</stp>
        <tr r="P72" s="7"/>
      </tp>
      <tp t="s">
        <v>C</v>
        <stp/>
        <stp>BX</stp>
        <stp>.SPXW240129P4660</stp>
        <tr r="N92" s="7"/>
      </tp>
      <tp t="s">
        <v>C</v>
        <stp/>
        <stp>AX</stp>
        <stp>.SPXW240129P4565</stp>
        <tr r="P73" s="7"/>
      </tp>
      <tp t="s">
        <v>C</v>
        <stp/>
        <stp>BX</stp>
        <stp>.SPXW240129P4665</stp>
        <tr r="N93" s="7"/>
      </tp>
      <tp t="s">
        <v>C</v>
        <stp/>
        <stp>AX</stp>
        <stp>.SPXW240129C4570</stp>
        <tr r="J74" s="7"/>
      </tp>
      <tp t="s">
        <v>C</v>
        <stp/>
        <stp>BX</stp>
        <stp>.SPXW240129C4670</stp>
        <tr r="H94" s="7"/>
      </tp>
      <tp t="s">
        <v>C</v>
        <stp/>
        <stp>AX</stp>
        <stp>.SPXW240129C4575</stp>
        <tr r="J75" s="7"/>
      </tp>
      <tp t="s">
        <v>C</v>
        <stp/>
        <stp>BX</stp>
        <stp>.SPXW240129C4675</stp>
        <tr r="H95" s="7"/>
      </tp>
      <tp t="s">
        <v>C</v>
        <stp/>
        <stp>AX</stp>
        <stp>.SPXW240129P4570</stp>
        <tr r="P74" s="7"/>
      </tp>
      <tp t="s">
        <v>C</v>
        <stp/>
        <stp>BX</stp>
        <stp>.SPXW240129P4670</stp>
        <tr r="N94" s="7"/>
      </tp>
      <tp t="s">
        <v>C</v>
        <stp/>
        <stp>AX</stp>
        <stp>.SPXW240129P4575</stp>
        <tr r="P75" s="7"/>
      </tp>
      <tp t="s">
        <v>C</v>
        <stp/>
        <stp>BX</stp>
        <stp>.SPXW240129P4675</stp>
        <tr r="N95" s="7"/>
      </tp>
      <tp t="s">
        <v>C</v>
        <stp/>
        <stp>AX</stp>
        <stp>.SPXW240129C4540</stp>
        <tr r="J68" s="7"/>
      </tp>
      <tp t="s">
        <v>C</v>
        <stp/>
        <stp>BX</stp>
        <stp>.SPXW240129C4640</stp>
        <tr r="H88" s="7"/>
      </tp>
      <tp t="s">
        <v>C</v>
        <stp/>
        <stp>AX</stp>
        <stp>.SPXW240129C4545</stp>
        <tr r="J69" s="7"/>
      </tp>
      <tp t="s">
        <v>C</v>
        <stp/>
        <stp>BX</stp>
        <stp>.SPXW240129C4645</stp>
        <tr r="H89" s="7"/>
      </tp>
      <tp t="s">
        <v>C</v>
        <stp/>
        <stp>AX</stp>
        <stp>.SPXW240129P4540</stp>
        <tr r="P68" s="7"/>
      </tp>
      <tp t="s">
        <v>C</v>
        <stp/>
        <stp>BX</stp>
        <stp>.SPXW240129P4640</stp>
        <tr r="N88" s="7"/>
      </tp>
      <tp t="s">
        <v>C</v>
        <stp/>
        <stp>AX</stp>
        <stp>.SPXW240129P4545</stp>
        <tr r="P69" s="7"/>
      </tp>
      <tp t="s">
        <v>C</v>
        <stp/>
        <stp>BX</stp>
        <stp>.SPXW240129P4645</stp>
        <tr r="N89" s="7"/>
      </tp>
      <tp t="s">
        <v>C</v>
        <stp/>
        <stp>AX</stp>
        <stp>.SPXW240129C4550</stp>
        <tr r="J70" s="7"/>
      </tp>
      <tp t="s">
        <v>C</v>
        <stp/>
        <stp>BX</stp>
        <stp>.SPXW240129C4650</stp>
        <tr r="H90" s="7"/>
      </tp>
      <tp t="s">
        <v>C</v>
        <stp/>
        <stp>BX</stp>
        <stp>.SPXW240129C3650</stp>
        <tr r="H24" s="7"/>
      </tp>
      <tp t="s">
        <v>C</v>
        <stp/>
        <stp>AX</stp>
        <stp>.SPXW240129C4555</stp>
        <tr r="J71" s="7"/>
      </tp>
      <tp t="s">
        <v>C</v>
        <stp/>
        <stp>BX</stp>
        <stp>.SPXW240129C4655</stp>
        <tr r="H91" s="7"/>
      </tp>
      <tp t="s">
        <v>C</v>
        <stp/>
        <stp>AX</stp>
        <stp>.SPXW240129P4550</stp>
        <tr r="P70" s="7"/>
      </tp>
      <tp t="s">
        <v>C</v>
        <stp/>
        <stp>BX</stp>
        <stp>.SPXW240129P4650</stp>
        <tr r="N90" s="7"/>
      </tp>
      <tp t="s">
        <v>C</v>
        <stp/>
        <stp>BX</stp>
        <stp>.SPXW240129P3650</stp>
        <tr r="N24" s="7"/>
      </tp>
      <tp t="s">
        <v>C</v>
        <stp/>
        <stp>AX</stp>
        <stp>.SPXW240129P4555</stp>
        <tr r="P71" s="7"/>
      </tp>
      <tp t="s">
        <v>C</v>
        <stp/>
        <stp>BX</stp>
        <stp>.SPXW240129P4655</stp>
        <tr r="N91" s="7"/>
      </tp>
      <tp t="s">
        <v>C</v>
        <stp/>
        <stp>AX</stp>
        <stp>.SPXW240129C4580</stp>
        <tr r="J76" s="7"/>
      </tp>
      <tp t="s">
        <v>C</v>
        <stp/>
        <stp>BX</stp>
        <stp>.SPXW240129C4680</stp>
        <tr r="H96" s="7"/>
      </tp>
      <tp t="s">
        <v>C</v>
        <stp/>
        <stp>AX</stp>
        <stp>.SPXW240129C4585</stp>
        <tr r="J77" s="7"/>
      </tp>
      <tp t="s">
        <v>C</v>
        <stp/>
        <stp>BX</stp>
        <stp>.SPXW240129C4685</stp>
        <tr r="H97" s="7"/>
      </tp>
      <tp t="s">
        <v>C</v>
        <stp/>
        <stp>AX</stp>
        <stp>.SPXW240129P4580</stp>
        <tr r="P76" s="7"/>
      </tp>
      <tp t="s">
        <v>C</v>
        <stp/>
        <stp>BX</stp>
        <stp>.SPXW240129P4680</stp>
        <tr r="N96" s="7"/>
      </tp>
      <tp t="s">
        <v>C</v>
        <stp/>
        <stp>AX</stp>
        <stp>.SPXW240129P4585</stp>
        <tr r="P77" s="7"/>
      </tp>
      <tp t="s">
        <v>C</v>
        <stp/>
        <stp>BX</stp>
        <stp>.SPXW240129P4685</stp>
        <tr r="N97" s="7"/>
      </tp>
      <tp t="s">
        <v>C</v>
        <stp/>
        <stp>AX</stp>
        <stp>.SPXW240129C4590</stp>
        <tr r="J78" s="7"/>
      </tp>
      <tp t="s">
        <v>C</v>
        <stp/>
        <stp>BX</stp>
        <stp>.SPXW240129C4690</stp>
        <tr r="H98" s="7"/>
      </tp>
      <tp t="s">
        <v>C</v>
        <stp/>
        <stp>AX</stp>
        <stp>.SPXW240129C4595</stp>
        <tr r="J79" s="7"/>
      </tp>
      <tp t="s">
        <v>C</v>
        <stp/>
        <stp>BX</stp>
        <stp>.SPXW240129C4695</stp>
        <tr r="H99" s="7"/>
      </tp>
      <tp t="s">
        <v>C</v>
        <stp/>
        <stp>AX</stp>
        <stp>.SPXW240129P4590</stp>
        <tr r="P78" s="7"/>
      </tp>
      <tp t="s">
        <v>C</v>
        <stp/>
        <stp>BX</stp>
        <stp>.SPXW240129P4690</stp>
        <tr r="N98" s="7"/>
      </tp>
      <tp t="s">
        <v>C</v>
        <stp/>
        <stp>AX</stp>
        <stp>.SPXW240129P4595</stp>
        <tr r="P79" s="7"/>
      </tp>
      <tp t="s">
        <v>C</v>
        <stp/>
        <stp>BX</stp>
        <stp>.SPXW240129P4695</stp>
        <tr r="N99" s="7"/>
      </tp>
      <tp>
        <v>0</v>
        <stp/>
        <stp>DELTA</stp>
        <stp>.SPXW240129P4830</stp>
        <tr r="S126" s="7"/>
      </tp>
      <tp>
        <v>0</v>
        <stp/>
        <stp>DELTA</stp>
        <stp>.SPXW240129P4835</stp>
        <tr r="S127" s="7"/>
      </tp>
      <tp>
        <v>1</v>
        <stp/>
        <stp>DELTA</stp>
        <stp>.SPXW240129C4830</stp>
        <tr r="E126" s="7"/>
      </tp>
      <tp>
        <v>1</v>
        <stp/>
        <stp>DELTA</stp>
        <stp>.SPXW240129C4835</stp>
        <tr r="E127" s="7"/>
      </tp>
      <tp>
        <v>0</v>
        <stp/>
        <stp>DELTA</stp>
        <stp>.SPXW240129P4820</stp>
        <tr r="S124" s="7"/>
      </tp>
      <tp>
        <v>0</v>
        <stp/>
        <stp>DELTA</stp>
        <stp>.SPXW240129P4825</stp>
        <tr r="S125" s="7"/>
      </tp>
      <tp>
        <v>1</v>
        <stp/>
        <stp>DELTA</stp>
        <stp>.SPXW240129C4820</stp>
        <tr r="E124" s="7"/>
      </tp>
      <tp>
        <v>1</v>
        <stp/>
        <stp>DELTA</stp>
        <stp>.SPXW240129C4825</stp>
        <tr r="E125" s="7"/>
      </tp>
      <tp>
        <v>0</v>
        <stp/>
        <stp>DELTA</stp>
        <stp>.SPXW240129P4810</stp>
        <tr r="S122" s="7"/>
      </tp>
      <tp>
        <v>0</v>
        <stp/>
        <stp>DELTA</stp>
        <stp>.SPXW240129P4815</stp>
        <tr r="S123" s="7"/>
      </tp>
      <tp>
        <v>1</v>
        <stp/>
        <stp>DELTA</stp>
        <stp>.SPXW240129C4810</stp>
        <tr r="E122" s="7"/>
      </tp>
      <tp>
        <v>1</v>
        <stp/>
        <stp>DELTA</stp>
        <stp>.SPXW240129C4815</stp>
        <tr r="E123" s="7"/>
      </tp>
      <tp>
        <v>-0.4</v>
        <stp/>
        <stp>DELTA</stp>
        <stp>.SPXW240129P5800</stp>
        <tr r="S185" s="7"/>
      </tp>
      <tp>
        <v>0</v>
        <stp/>
        <stp>DELTA</stp>
        <stp>.SPXW240129P4800</stp>
        <tr r="S120" s="7"/>
      </tp>
      <tp>
        <v>0</v>
        <stp/>
        <stp>DELTA</stp>
        <stp>.SPXW240129P1800</stp>
        <tr r="S13" s="7"/>
      </tp>
      <tp>
        <v>0</v>
        <stp/>
        <stp>DELTA</stp>
        <stp>.SPXW240129P3800</stp>
        <tr r="S27" s="7"/>
      </tp>
      <tp>
        <v>0</v>
        <stp/>
        <stp>DELTA</stp>
        <stp>.SPXW240129P2800</stp>
        <tr r="S18" s="7"/>
      </tp>
      <tp>
        <v>0</v>
        <stp/>
        <stp>DELTA</stp>
        <stp>.SPXW240129P4805</stp>
        <tr r="S121" s="7"/>
      </tp>
      <tp>
        <v>1</v>
        <stp/>
        <stp>DELTA</stp>
        <stp>.SPXW240129C5800</stp>
        <tr r="E185" s="7"/>
      </tp>
      <tp>
        <v>1</v>
        <stp/>
        <stp>DELTA</stp>
        <stp>.SPXW240129C4800</stp>
        <tr r="E120" s="7"/>
      </tp>
      <tp>
        <v>1</v>
        <stp/>
        <stp>DELTA</stp>
        <stp>.SPXW240129C1800</stp>
        <tr r="E13" s="7"/>
      </tp>
      <tp>
        <v>1</v>
        <stp/>
        <stp>DELTA</stp>
        <stp>.SPXW240129C3800</stp>
        <tr r="E27" s="7"/>
      </tp>
      <tp>
        <v>1</v>
        <stp/>
        <stp>DELTA</stp>
        <stp>.SPXW240129C2800</stp>
        <tr r="E18" s="7"/>
      </tp>
      <tp>
        <v>1</v>
        <stp/>
        <stp>DELTA</stp>
        <stp>.SPXW240129C4805</stp>
        <tr r="E121" s="7"/>
      </tp>
      <tp>
        <v>0</v>
        <stp/>
        <stp>DELTA</stp>
        <stp>.SPXW240129P4870</stp>
        <tr r="S134" s="7"/>
      </tp>
      <tp>
        <v>0</v>
        <stp/>
        <stp>DELTA</stp>
        <stp>.SPXW240129P4875</stp>
        <tr r="S135" s="7"/>
      </tp>
      <tp>
        <v>1</v>
        <stp/>
        <stp>DELTA</stp>
        <stp>.SPXW240129C4870</stp>
        <tr r="E134" s="7"/>
      </tp>
      <tp>
        <v>1</v>
        <stp/>
        <stp>DELTA</stp>
        <stp>.SPXW240129C4875</stp>
        <tr r="E135" s="7"/>
      </tp>
      <tp>
        <v>0</v>
        <stp/>
        <stp>DELTA</stp>
        <stp>.SPXW240129P4860</stp>
        <tr r="S132" s="7"/>
      </tp>
      <tp>
        <v>0</v>
        <stp/>
        <stp>DELTA</stp>
        <stp>.SPXW240129P4865</stp>
        <tr r="S133" s="7"/>
      </tp>
      <tp>
        <v>1</v>
        <stp/>
        <stp>DELTA</stp>
        <stp>.SPXW240129C4860</stp>
        <tr r="E132" s="7"/>
      </tp>
      <tp>
        <v>1</v>
        <stp/>
        <stp>DELTA</stp>
        <stp>.SPXW240129C4865</stp>
        <tr r="E133" s="7"/>
      </tp>
      <tp>
        <v>0</v>
        <stp/>
        <stp>DELTA</stp>
        <stp>.SPXW240129P4850</stp>
        <tr r="S130" s="7"/>
      </tp>
      <tp>
        <v>0</v>
        <stp/>
        <stp>DELTA</stp>
        <stp>.SPXW240129P3850</stp>
        <tr r="S28" s="7"/>
      </tp>
      <tp>
        <v>0</v>
        <stp/>
        <stp>DELTA</stp>
        <stp>.SPXW240129P4855</stp>
        <tr r="S131" s="7"/>
      </tp>
      <tp>
        <v>1</v>
        <stp/>
        <stp>DELTA</stp>
        <stp>.SPXW240129C4850</stp>
        <tr r="E130" s="7"/>
      </tp>
      <tp>
        <v>1</v>
        <stp/>
        <stp>DELTA</stp>
        <stp>.SPXW240129C3850</stp>
        <tr r="E28" s="7"/>
      </tp>
      <tp>
        <v>1</v>
        <stp/>
        <stp>DELTA</stp>
        <stp>.SPXW240129C4855</stp>
        <tr r="E131" s="7"/>
      </tp>
      <tp>
        <v>0</v>
        <stp/>
        <stp>DELTA</stp>
        <stp>.SPXW240129P4840</stp>
        <tr r="S128" s="7"/>
      </tp>
      <tp>
        <v>0</v>
        <stp/>
        <stp>DELTA</stp>
        <stp>.SPXW240129P4845</stp>
        <tr r="S129" s="7"/>
      </tp>
      <tp>
        <v>1</v>
        <stp/>
        <stp>DELTA</stp>
        <stp>.SPXW240129C4840</stp>
        <tr r="E128" s="7"/>
      </tp>
      <tp>
        <v>1</v>
        <stp/>
        <stp>DELTA</stp>
        <stp>.SPXW240129C4845</stp>
        <tr r="E129" s="7"/>
      </tp>
      <tp>
        <v>0</v>
        <stp/>
        <stp>DELTA</stp>
        <stp>.SPXW240129P4890</stp>
        <tr r="S138" s="7"/>
      </tp>
      <tp>
        <v>0</v>
        <stp/>
        <stp>DELTA</stp>
        <stp>.SPXW240129P4895</stp>
        <tr r="S139" s="7"/>
      </tp>
      <tp>
        <v>1</v>
        <stp/>
        <stp>DELTA</stp>
        <stp>.SPXW240129C4890</stp>
        <tr r="E138" s="7"/>
      </tp>
      <tp>
        <v>1</v>
        <stp/>
        <stp>DELTA</stp>
        <stp>.SPXW240129C4895</stp>
        <tr r="E139" s="7"/>
      </tp>
      <tp>
        <v>0</v>
        <stp/>
        <stp>DELTA</stp>
        <stp>.SPXW240129P4880</stp>
        <tr r="S136" s="7"/>
      </tp>
      <tp>
        <v>0</v>
        <stp/>
        <stp>DELTA</stp>
        <stp>.SPXW240129P4885</stp>
        <tr r="S137" s="7"/>
      </tp>
      <tp>
        <v>1</v>
        <stp/>
        <stp>DELTA</stp>
        <stp>.SPXW240129C4880</stp>
        <tr r="E136" s="7"/>
      </tp>
      <tp>
        <v>1</v>
        <stp/>
        <stp>DELTA</stp>
        <stp>.SPXW240129C4885</stp>
        <tr r="E137" s="7"/>
      </tp>
      <tp>
        <v>0</v>
        <stp/>
        <stp>BID</stp>
        <stp>.SPXW240129C5005</stp>
        <tr r="G161" s="7"/>
      </tp>
      <tp>
        <v>1919.3</v>
        <stp/>
        <stp>BID</stp>
        <stp>.SPXW240129C3000</stp>
        <tr r="G19" s="7"/>
      </tp>
      <tp>
        <v>2919.3</v>
        <stp/>
        <stp>BID</stp>
        <stp>.SPXW240129C2000</stp>
        <tr r="G14" s="7"/>
      </tp>
      <tp>
        <v>0</v>
        <stp/>
        <stp>BID</stp>
        <stp>.SPXW240129C5000</stp>
        <tr r="G160" s="7"/>
      </tp>
      <tp>
        <v>919.3</v>
        <stp/>
        <stp>BID</stp>
        <stp>.SPXW240129C4000</stp>
        <tr r="G31" s="7"/>
      </tp>
      <tp>
        <v>0</v>
        <stp/>
        <stp>BID</stp>
        <stp>.SPXW240129C6000</stp>
        <tr r="G186" s="7"/>
      </tp>
      <tp>
        <v>73.599999999999994</v>
        <stp/>
        <stp>BID</stp>
        <stp>.SPXW240129P5005</stp>
        <tr r="M161" s="7"/>
      </tp>
      <tp>
        <v>0</v>
        <stp/>
        <stp>BID</stp>
        <stp>.SPXW240129P3000</stp>
        <tr r="M19" s="7"/>
      </tp>
      <tp>
        <v>0</v>
        <stp/>
        <stp>BID</stp>
        <stp>.SPXW240129P2000</stp>
        <tr r="M14" s="7"/>
      </tp>
      <tp>
        <v>68.599999999999994</v>
        <stp/>
        <stp>BID</stp>
        <stp>.SPXW240129P5000</stp>
        <tr r="M160" s="7"/>
      </tp>
      <tp>
        <v>0</v>
        <stp/>
        <stp>BID</stp>
        <stp>.SPXW240129P4000</stp>
        <tr r="M31" s="7"/>
      </tp>
      <tp>
        <v>1062.3</v>
        <stp/>
        <stp>BID</stp>
        <stp>.SPXW240129P6000</stp>
        <tr r="M186" s="7"/>
      </tp>
      <tp>
        <v>0</v>
        <stp/>
        <stp>BID</stp>
        <stp>.SPXW240129C5015</stp>
        <tr r="G163" s="7"/>
      </tp>
      <tp>
        <v>0</v>
        <stp/>
        <stp>BID</stp>
        <stp>.SPXW240129C5010</stp>
        <tr r="G162" s="7"/>
      </tp>
      <tp>
        <v>83.6</v>
        <stp/>
        <stp>BID</stp>
        <stp>.SPXW240129P5015</stp>
        <tr r="M163" s="7"/>
      </tp>
      <tp>
        <v>78.599999999999994</v>
        <stp/>
        <stp>BID</stp>
        <stp>.SPXW240129P5010</stp>
        <tr r="M162" s="7"/>
      </tp>
      <tp>
        <v>0</v>
        <stp/>
        <stp>BID</stp>
        <stp>.SPXW240129C5025</stp>
        <tr r="G165" s="7"/>
      </tp>
      <tp>
        <v>0</v>
        <stp/>
        <stp>BID</stp>
        <stp>.SPXW240129C5020</stp>
        <tr r="G164" s="7"/>
      </tp>
      <tp>
        <v>93.6</v>
        <stp/>
        <stp>BID</stp>
        <stp>.SPXW240129P5025</stp>
        <tr r="M165" s="7"/>
      </tp>
      <tp>
        <v>88.6</v>
        <stp/>
        <stp>BID</stp>
        <stp>.SPXW240129P5020</stp>
        <tr r="M164" s="7"/>
      </tp>
      <tp>
        <v>0</v>
        <stp/>
        <stp>BID</stp>
        <stp>.SPXW240129C5035</stp>
        <tr r="G167" s="7"/>
      </tp>
      <tp>
        <v>0</v>
        <stp/>
        <stp>BID</stp>
        <stp>.SPXW240129C5030</stp>
        <tr r="G166" s="7"/>
      </tp>
      <tp>
        <v>103.6</v>
        <stp/>
        <stp>BID</stp>
        <stp>.SPXW240129P5035</stp>
        <tr r="M167" s="7"/>
      </tp>
      <tp>
        <v>98.6</v>
        <stp/>
        <stp>BID</stp>
        <stp>.SPXW240129P5030</stp>
        <tr r="M166" s="7"/>
      </tp>
      <tp>
        <v>0</v>
        <stp/>
        <stp>BID</stp>
        <stp>.SPXW240129C5040</stp>
        <tr r="G168" s="7"/>
      </tp>
      <tp>
        <v>108.9</v>
        <stp/>
        <stp>BID</stp>
        <stp>.SPXW240129P5040</stp>
        <tr r="M168" s="7"/>
      </tp>
      <tp>
        <v>0</v>
        <stp/>
        <stp>BID</stp>
        <stp>.SPXW240129C5050</stp>
        <tr r="G169" s="7"/>
      </tp>
      <tp>
        <v>869.3</v>
        <stp/>
        <stp>BID</stp>
        <stp>.SPXW240129C4050</stp>
        <tr r="G32" s="7"/>
      </tp>
      <tp>
        <v>115.1</v>
        <stp/>
        <stp>BID</stp>
        <stp>.SPXW240129P5050</stp>
        <tr r="M169" s="7"/>
      </tp>
      <tp>
        <v>0</v>
        <stp/>
        <stp>BID</stp>
        <stp>.SPXW240129P4050</stp>
        <tr r="M32" s="7"/>
      </tp>
      <tp>
        <v>0</v>
        <stp/>
        <stp>BID</stp>
        <stp>.SPXW240129C5060</stp>
        <tr r="G170" s="7"/>
      </tp>
      <tp>
        <v>125.1</v>
        <stp/>
        <stp>BID</stp>
        <stp>.SPXW240129P5060</stp>
        <tr r="M170" s="7"/>
      </tp>
      <tp>
        <v>0</v>
        <stp/>
        <stp>BID</stp>
        <stp>.SPXW240129C5075</stp>
        <tr r="G172" s="7"/>
      </tp>
      <tp>
        <v>0</v>
        <stp/>
        <stp>BID</stp>
        <stp>.SPXW240129C5070</stp>
        <tr r="G171" s="7"/>
      </tp>
      <tp>
        <v>140.1</v>
        <stp/>
        <stp>BID</stp>
        <stp>.SPXW240129P5075</stp>
        <tr r="M172" s="7"/>
      </tp>
      <tp>
        <v>135.1</v>
        <stp/>
        <stp>BID</stp>
        <stp>.SPXW240129P5070</stp>
        <tr r="M171" s="7"/>
      </tp>
      <tp>
        <v>0</v>
        <stp/>
        <stp>BID</stp>
        <stp>.SPXW240129C5080</stp>
        <tr r="G173" s="7"/>
      </tp>
      <tp>
        <v>145.1</v>
        <stp/>
        <stp>BID</stp>
        <stp>.SPXW240129P5080</stp>
        <tr r="M173" s="7"/>
      </tp>
      <tp t="s">
        <v>C</v>
        <stp/>
        <stp>AX</stp>
        <stp>.SPXW240129C4420</stp>
        <tr r="J50" s="7"/>
      </tp>
      <tp t="s">
        <v>C</v>
        <stp/>
        <stp>BX</stp>
        <stp>.SPXW240129C4720</stp>
        <tr r="H104" s="7"/>
      </tp>
      <tp t="s">
        <v>C</v>
        <stp/>
        <stp>AX</stp>
        <stp>.SPXW240129C4425</stp>
        <tr r="J51" s="7"/>
      </tp>
      <tp t="s">
        <v>C</v>
        <stp/>
        <stp>BX</stp>
        <stp>.SPXW240129C4725</stp>
        <tr r="H105" s="7"/>
      </tp>
      <tp t="s">
        <v>C</v>
        <stp/>
        <stp>AX</stp>
        <stp>.SPXW240129P4420</stp>
        <tr r="P50" s="7"/>
      </tp>
      <tp t="s">
        <v>C</v>
        <stp/>
        <stp>BX</stp>
        <stp>.SPXW240129P4720</stp>
        <tr r="N104" s="7"/>
      </tp>
      <tp t="s">
        <v>C</v>
        <stp/>
        <stp>AX</stp>
        <stp>.SPXW240129P4425</stp>
        <tr r="P51" s="7"/>
      </tp>
      <tp t="s">
        <v>C</v>
        <stp/>
        <stp>BX</stp>
        <stp>.SPXW240129P4725</stp>
        <tr r="N105" s="7"/>
      </tp>
      <tp t="s">
        <v>C</v>
        <stp/>
        <stp>AX</stp>
        <stp>.SPXW240129C4430</stp>
        <tr r="J52" s="7"/>
      </tp>
      <tp t="s">
        <v>C</v>
        <stp/>
        <stp>BX</stp>
        <stp>.SPXW240129C4730</stp>
        <tr r="H106" s="7"/>
      </tp>
      <tp t="s">
        <v>C</v>
        <stp/>
        <stp>BX</stp>
        <stp>.SPXW240129C4735</stp>
        <tr r="H107" s="7"/>
      </tp>
      <tp t="s">
        <v>C</v>
        <stp/>
        <stp>AX</stp>
        <stp>.SPXW240129P4430</stp>
        <tr r="P52" s="7"/>
      </tp>
      <tp t="s">
        <v>C</v>
        <stp/>
        <stp>BX</stp>
        <stp>.SPXW240129P4730</stp>
        <tr r="N106" s="7"/>
      </tp>
      <tp t="s">
        <v>C</v>
        <stp/>
        <stp>BX</stp>
        <stp>.SPXW240129P4735</stp>
        <tr r="N107" s="7"/>
      </tp>
      <tp t="s">
        <v>C</v>
        <stp/>
        <stp>AX</stp>
        <stp>.SPXW240129C4400</stp>
        <tr r="J48" s="7"/>
      </tp>
      <tp t="s">
        <v>C</v>
        <stp/>
        <stp>BX</stp>
        <stp>.SPXW240129C4700</stp>
        <tr r="H100" s="7"/>
      </tp>
      <tp t="s">
        <v>C</v>
        <stp/>
        <stp>AX</stp>
        <stp>.SPXW240129C5400</stp>
        <tr r="J182" s="7"/>
      </tp>
      <tp t="s">
        <v>C</v>
        <stp/>
        <stp>AX</stp>
        <stp>.SPXW240129C1400</stp>
        <tr r="J11" s="7"/>
      </tp>
      <tp t="s">
        <v>C</v>
        <stp/>
        <stp>AX</stp>
        <stp>.SPXW240129C2400</stp>
        <tr r="J16" s="7"/>
      </tp>
      <tp t="s">
        <v>C</v>
        <stp/>
        <stp>AX</stp>
        <stp>.SPXW240129C3400</stp>
        <tr r="J21" s="7"/>
      </tp>
      <tp t="s">
        <v>C</v>
        <stp/>
        <stp>BX</stp>
        <stp>.SPXW240129C3700</stp>
        <tr r="H25" s="7"/>
      </tp>
      <tp t="s">
        <v>C</v>
        <stp/>
        <stp>BX</stp>
        <stp>.SPXW240129C4705</stp>
        <tr r="H101" s="7"/>
      </tp>
      <tp t="s">
        <v>C</v>
        <stp/>
        <stp>AX</stp>
        <stp>.SPXW240129P4400</stp>
        <tr r="P48" s="7"/>
      </tp>
      <tp t="s">
        <v>C</v>
        <stp/>
        <stp>BX</stp>
        <stp>.SPXW240129P4700</stp>
        <tr r="N100" s="7"/>
      </tp>
      <tp t="s">
        <v>C</v>
        <stp/>
        <stp>AX</stp>
        <stp>.SPXW240129P5400</stp>
        <tr r="P182" s="7"/>
      </tp>
      <tp t="s">
        <v>C</v>
        <stp/>
        <stp>AX</stp>
        <stp>.SPXW240129P1400</stp>
        <tr r="P11" s="7"/>
      </tp>
      <tp t="s">
        <v>C</v>
        <stp/>
        <stp>AX</stp>
        <stp>.SPXW240129P2400</stp>
        <tr r="P16" s="7"/>
      </tp>
      <tp t="s">
        <v>C</v>
        <stp/>
        <stp>AX</stp>
        <stp>.SPXW240129P3400</stp>
        <tr r="P21" s="7"/>
      </tp>
      <tp t="s">
        <v>C</v>
        <stp/>
        <stp>BX</stp>
        <stp>.SPXW240129P3700</stp>
        <tr r="N25" s="7"/>
      </tp>
      <tp t="s">
        <v>C</v>
        <stp/>
        <stp>BX</stp>
        <stp>.SPXW240129P4705</stp>
        <tr r="N101" s="7"/>
      </tp>
      <tp t="s">
        <v>C</v>
        <stp/>
        <stp>AX</stp>
        <stp>.SPXW240129C4410</stp>
        <tr r="J49" s="7"/>
      </tp>
      <tp t="s">
        <v>C</v>
        <stp/>
        <stp>BX</stp>
        <stp>.SPXW240129C4710</stp>
        <tr r="H102" s="7"/>
      </tp>
      <tp t="s">
        <v>C</v>
        <stp/>
        <stp>BX</stp>
        <stp>.SPXW240129C4715</stp>
        <tr r="H103" s="7"/>
      </tp>
      <tp t="s">
        <v>C</v>
        <stp/>
        <stp>AX</stp>
        <stp>.SPXW240129P4410</stp>
        <tr r="P49" s="7"/>
      </tp>
      <tp t="s">
        <v>C</v>
        <stp/>
        <stp>BX</stp>
        <stp>.SPXW240129P4710</stp>
        <tr r="N102" s="7"/>
      </tp>
      <tp t="s">
        <v>C</v>
        <stp/>
        <stp>BX</stp>
        <stp>.SPXW240129P4715</stp>
        <tr r="N103" s="7"/>
      </tp>
      <tp t="s">
        <v>C</v>
        <stp/>
        <stp>AX</stp>
        <stp>.SPXW240129C4460</stp>
        <tr r="J55" s="7"/>
      </tp>
      <tp t="s">
        <v>C</v>
        <stp/>
        <stp>BX</stp>
        <stp>.SPXW240129C4760</stp>
        <tr r="H112" s="7"/>
      </tp>
      <tp t="s">
        <v>C</v>
        <stp/>
        <stp>BX</stp>
        <stp>.SPXW240129C4765</stp>
        <tr r="H113" s="7"/>
      </tp>
      <tp t="s">
        <v>C</v>
        <stp/>
        <stp>AX</stp>
        <stp>.SPXW240129P4460</stp>
        <tr r="P55" s="7"/>
      </tp>
      <tp t="s">
        <v>C</v>
        <stp/>
        <stp>BX</stp>
        <stp>.SPXW240129P4760</stp>
        <tr r="N112" s="7"/>
      </tp>
      <tp t="s">
        <v>C</v>
        <stp/>
        <stp>BX</stp>
        <stp>.SPXW240129P4765</stp>
        <tr r="N113" s="7"/>
      </tp>
      <tp t="s">
        <v>C</v>
        <stp/>
        <stp>AX</stp>
        <stp>.SPXW240129C4470</stp>
        <tr r="J56" s="7"/>
      </tp>
      <tp t="s">
        <v>C</v>
        <stp/>
        <stp>BX</stp>
        <stp>.SPXW240129C4770</stp>
        <tr r="H114" s="7"/>
      </tp>
      <tp t="s">
        <v>C</v>
        <stp/>
        <stp>AX</stp>
        <stp>.SPXW240129C4475</stp>
        <tr r="J57" s="7"/>
      </tp>
      <tp t="s">
        <v>C</v>
        <stp/>
        <stp>BX</stp>
        <stp>.SPXW240129C4775</stp>
        <tr r="H115" s="7"/>
      </tp>
      <tp t="s">
        <v>C</v>
        <stp/>
        <stp>AX</stp>
        <stp>.SPXW240129P4470</stp>
        <tr r="P56" s="7"/>
      </tp>
      <tp t="s">
        <v>C</v>
        <stp/>
        <stp>BX</stp>
        <stp>.SPXW240129P4770</stp>
        <tr r="N114" s="7"/>
      </tp>
      <tp t="s">
        <v>C</v>
        <stp/>
        <stp>AX</stp>
        <stp>.SPXW240129P4475</stp>
        <tr r="P57" s="7"/>
      </tp>
      <tp t="s">
        <v>C</v>
        <stp/>
        <stp>BX</stp>
        <stp>.SPXW240129P4775</stp>
        <tr r="N115" s="7"/>
      </tp>
      <tp t="s">
        <v>C</v>
        <stp/>
        <stp>AX</stp>
        <stp>.SPXW240129C4440</stp>
        <tr r="J53" s="7"/>
      </tp>
      <tp t="s">
        <v>C</v>
        <stp/>
        <stp>BX</stp>
        <stp>.SPXW240129C4740</stp>
        <tr r="H108" s="7"/>
      </tp>
      <tp t="s">
        <v>C</v>
        <stp/>
        <stp>BX</stp>
        <stp>.SPXW240129C4745</stp>
        <tr r="H109" s="7"/>
      </tp>
      <tp t="s">
        <v>C</v>
        <stp/>
        <stp>AX</stp>
        <stp>.SPXW240129P4440</stp>
        <tr r="P53" s="7"/>
      </tp>
      <tp t="s">
        <v>C</v>
        <stp/>
        <stp>BX</stp>
        <stp>.SPXW240129P4740</stp>
        <tr r="N108" s="7"/>
      </tp>
      <tp t="s">
        <v>C</v>
        <stp/>
        <stp>BX</stp>
        <stp>.SPXW240129P4745</stp>
        <tr r="N109" s="7"/>
      </tp>
      <tp t="s">
        <v>C</v>
        <stp/>
        <stp>AX</stp>
        <stp>.SPXW240129C4450</stp>
        <tr r="J54" s="7"/>
      </tp>
      <tp t="s">
        <v>C</v>
        <stp/>
        <stp>BX</stp>
        <stp>.SPXW240129C4750</stp>
        <tr r="H110" s="7"/>
      </tp>
      <tp t="s">
        <v>C</v>
        <stp/>
        <stp>BX</stp>
        <stp>.SPXW240129C3750</stp>
        <tr r="H26" s="7"/>
      </tp>
      <tp t="s">
        <v>C</v>
        <stp/>
        <stp>BX</stp>
        <stp>.SPXW240129C4755</stp>
        <tr r="H111" s="7"/>
      </tp>
      <tp t="s">
        <v>C</v>
        <stp/>
        <stp>AX</stp>
        <stp>.SPXW240129P4450</stp>
        <tr r="P54" s="7"/>
      </tp>
      <tp t="s">
        <v>C</v>
        <stp/>
        <stp>BX</stp>
        <stp>.SPXW240129P4750</stp>
        <tr r="N110" s="7"/>
      </tp>
      <tp t="s">
        <v>C</v>
        <stp/>
        <stp>BX</stp>
        <stp>.SPXW240129P3750</stp>
        <tr r="N26" s="7"/>
      </tp>
      <tp t="s">
        <v>C</v>
        <stp/>
        <stp>BX</stp>
        <stp>.SPXW240129P4755</stp>
        <tr r="N111" s="7"/>
      </tp>
      <tp t="s">
        <v>C</v>
        <stp/>
        <stp>AX</stp>
        <stp>.SPXW240129C4480</stp>
        <tr r="J58" s="7"/>
      </tp>
      <tp t="s">
        <v>C</v>
        <stp/>
        <stp>BX</stp>
        <stp>.SPXW240129C4780</stp>
        <tr r="H116" s="7"/>
      </tp>
      <tp t="s">
        <v>C</v>
        <stp/>
        <stp>BX</stp>
        <stp>.SPXW240129C4785</stp>
        <tr r="H117" s="7"/>
      </tp>
      <tp t="s">
        <v>C</v>
        <stp/>
        <stp>AX</stp>
        <stp>.SPXW240129P4480</stp>
        <tr r="P58" s="7"/>
      </tp>
      <tp t="s">
        <v>C</v>
        <stp/>
        <stp>BX</stp>
        <stp>.SPXW240129P4780</stp>
        <tr r="N116" s="7"/>
      </tp>
      <tp t="s">
        <v>C</v>
        <stp/>
        <stp>BX</stp>
        <stp>.SPXW240129P4785</stp>
        <tr r="N117" s="7"/>
      </tp>
      <tp t="s">
        <v>C</v>
        <stp/>
        <stp>AX</stp>
        <stp>.SPXW240129C4490</stp>
        <tr r="J59" s="7"/>
      </tp>
      <tp t="s">
        <v>C</v>
        <stp/>
        <stp>BX</stp>
        <stp>.SPXW240129C4790</stp>
        <tr r="H118" s="7"/>
      </tp>
      <tp t="s">
        <v>C</v>
        <stp/>
        <stp>BX</stp>
        <stp>.SPXW240129C4795</stp>
        <tr r="H119" s="7"/>
      </tp>
      <tp t="s">
        <v>C</v>
        <stp/>
        <stp>AX</stp>
        <stp>.SPXW240129P4490</stp>
        <tr r="P59" s="7"/>
      </tp>
      <tp t="s">
        <v>C</v>
        <stp/>
        <stp>BX</stp>
        <stp>.SPXW240129P4790</stp>
        <tr r="N118" s="7"/>
      </tp>
      <tp t="s">
        <v>C</v>
        <stp/>
        <stp>BX</stp>
        <stp>.SPXW240129P4795</stp>
        <tr r="N119" s="7"/>
      </tp>
      <tp>
        <v>-0.01</v>
        <stp/>
        <stp>DELTA</stp>
        <stp>.SPXW240129P4930</stp>
        <tr r="S146" s="7"/>
      </tp>
      <tp>
        <v>-0.03</v>
        <stp/>
        <stp>DELTA</stp>
        <stp>.SPXW240129P4935</stp>
        <tr r="S147" s="7"/>
      </tp>
      <tp>
        <v>1</v>
        <stp/>
        <stp>DELTA</stp>
        <stp>.SPXW240129C4930</stp>
        <tr r="E146" s="7"/>
      </tp>
      <tp>
        <v>1</v>
        <stp/>
        <stp>DELTA</stp>
        <stp>.SPXW240129C4935</stp>
        <tr r="E147" s="7"/>
      </tp>
      <tp>
        <v>0</v>
        <stp/>
        <stp>DELTA</stp>
        <stp>.SPXW240129P4920</stp>
        <tr r="S144" s="7"/>
      </tp>
      <tp>
        <v>0</v>
        <stp/>
        <stp>DELTA</stp>
        <stp>.SPXW240129P4925</stp>
        <tr r="S145" s="7"/>
      </tp>
      <tp>
        <v>1</v>
        <stp/>
        <stp>DELTA</stp>
        <stp>.SPXW240129C4920</stp>
        <tr r="E144" s="7"/>
      </tp>
      <tp>
        <v>1</v>
        <stp/>
        <stp>DELTA</stp>
        <stp>.SPXW240129C4925</stp>
        <tr r="E145" s="7"/>
      </tp>
      <tp>
        <v>0</v>
        <stp/>
        <stp>DELTA</stp>
        <stp>.SPXW240129P4910</stp>
        <tr r="S142" s="7"/>
      </tp>
      <tp>
        <v>0</v>
        <stp/>
        <stp>DELTA</stp>
        <stp>.SPXW240129P4915</stp>
        <tr r="S143" s="7"/>
      </tp>
      <tp>
        <v>1</v>
        <stp/>
        <stp>DELTA</stp>
        <stp>.SPXW240129C4910</stp>
        <tr r="E142" s="7"/>
      </tp>
      <tp>
        <v>1</v>
        <stp/>
        <stp>DELTA</stp>
        <stp>.SPXW240129C4915</stp>
        <tr r="E143" s="7"/>
      </tp>
      <tp>
        <v>0</v>
        <stp/>
        <stp>DELTA</stp>
        <stp>.SPXW240129P4900</stp>
        <tr r="S140" s="7"/>
      </tp>
      <tp>
        <v>0</v>
        <stp/>
        <stp>DELTA</stp>
        <stp>.SPXW240129P3900</stp>
        <tr r="S29" s="7"/>
      </tp>
      <tp>
        <v>0</v>
        <stp/>
        <stp>DELTA</stp>
        <stp>.SPXW240129P4905</stp>
        <tr r="S141" s="7"/>
      </tp>
      <tp>
        <v>1</v>
        <stp/>
        <stp>DELTA</stp>
        <stp>.SPXW240129C4900</stp>
        <tr r="E140" s="7"/>
      </tp>
      <tp>
        <v>1</v>
        <stp/>
        <stp>DELTA</stp>
        <stp>.SPXW240129C3900</stp>
        <tr r="E29" s="7"/>
      </tp>
      <tp>
        <v>1</v>
        <stp/>
        <stp>DELTA</stp>
        <stp>.SPXW240129C4905</stp>
        <tr r="E141" s="7"/>
      </tp>
      <tp>
        <v>-0.1</v>
        <stp/>
        <stp>DELTA</stp>
        <stp>.SPXW240129P4970</stp>
        <tr r="S154" s="7"/>
      </tp>
      <tp>
        <v>-0.11</v>
        <stp/>
        <stp>DELTA</stp>
        <stp>.SPXW240129P4975</stp>
        <tr r="S155" s="7"/>
      </tp>
      <tp>
        <v>1</v>
        <stp/>
        <stp>DELTA</stp>
        <stp>.SPXW240129C4970</stp>
        <tr r="E154" s="7"/>
      </tp>
      <tp>
        <v>1</v>
        <stp/>
        <stp>DELTA</stp>
        <stp>.SPXW240129C4975</stp>
        <tr r="E155" s="7"/>
      </tp>
      <tp>
        <v>-0.08</v>
        <stp/>
        <stp>DELTA</stp>
        <stp>.SPXW240129P4960</stp>
        <tr r="S152" s="7"/>
      </tp>
      <tp>
        <v>-0.09</v>
        <stp/>
        <stp>DELTA</stp>
        <stp>.SPXW240129P4965</stp>
        <tr r="S153" s="7"/>
      </tp>
      <tp>
        <v>1</v>
        <stp/>
        <stp>DELTA</stp>
        <stp>.SPXW240129C4960</stp>
        <tr r="E152" s="7"/>
      </tp>
      <tp>
        <v>1</v>
        <stp/>
        <stp>DELTA</stp>
        <stp>.SPXW240129C4965</stp>
        <tr r="E153" s="7"/>
      </tp>
      <tp>
        <v>-7.0000000000000007E-2</v>
        <stp/>
        <stp>DELTA</stp>
        <stp>.SPXW240129P4950</stp>
        <tr r="S150" s="7"/>
      </tp>
      <tp>
        <v>0</v>
        <stp/>
        <stp>DELTA</stp>
        <stp>.SPXW240129P3950</stp>
        <tr r="S30" s="7"/>
      </tp>
      <tp>
        <v>-7.0000000000000007E-2</v>
        <stp/>
        <stp>DELTA</stp>
        <stp>.SPXW240129P4955</stp>
        <tr r="S151" s="7"/>
      </tp>
      <tp>
        <v>1</v>
        <stp/>
        <stp>DELTA</stp>
        <stp>.SPXW240129C4950</stp>
        <tr r="E150" s="7"/>
      </tp>
      <tp>
        <v>1</v>
        <stp/>
        <stp>DELTA</stp>
        <stp>.SPXW240129C3950</stp>
        <tr r="E30" s="7"/>
      </tp>
      <tp>
        <v>1</v>
        <stp/>
        <stp>DELTA</stp>
        <stp>.SPXW240129C4955</stp>
        <tr r="E151" s="7"/>
      </tp>
      <tp>
        <v>-0.05</v>
        <stp/>
        <stp>DELTA</stp>
        <stp>.SPXW240129P4940</stp>
        <tr r="S148" s="7"/>
      </tp>
      <tp>
        <v>-0.05</v>
        <stp/>
        <stp>DELTA</stp>
        <stp>.SPXW240129P4945</stp>
        <tr r="S149" s="7"/>
      </tp>
      <tp>
        <v>1</v>
        <stp/>
        <stp>DELTA</stp>
        <stp>.SPXW240129C4940</stp>
        <tr r="E148" s="7"/>
      </tp>
      <tp>
        <v>1</v>
        <stp/>
        <stp>DELTA</stp>
        <stp>.SPXW240129C4945</stp>
        <tr r="E149" s="7"/>
      </tp>
      <tp>
        <v>-0.12</v>
        <stp/>
        <stp>DELTA</stp>
        <stp>.SPXW240129P4990</stp>
        <tr r="S158" s="7"/>
      </tp>
      <tp>
        <v>-0.13</v>
        <stp/>
        <stp>DELTA</stp>
        <stp>.SPXW240129P4995</stp>
        <tr r="S159" s="7"/>
      </tp>
      <tp>
        <v>1</v>
        <stp/>
        <stp>DELTA</stp>
        <stp>.SPXW240129C4990</stp>
        <tr r="E158" s="7"/>
      </tp>
      <tp>
        <v>1</v>
        <stp/>
        <stp>DELTA</stp>
        <stp>.SPXW240129C4995</stp>
        <tr r="E159" s="7"/>
      </tp>
      <tp>
        <v>-0.11</v>
        <stp/>
        <stp>DELTA</stp>
        <stp>.SPXW240129P4980</stp>
        <tr r="S156" s="7"/>
      </tp>
      <tp>
        <v>-0.12</v>
        <stp/>
        <stp>DELTA</stp>
        <stp>.SPXW240129P4985</stp>
        <tr r="S157" s="7"/>
      </tp>
      <tp>
        <v>1</v>
        <stp/>
        <stp>DELTA</stp>
        <stp>.SPXW240129C4980</stp>
        <tr r="E156" s="7"/>
      </tp>
      <tp>
        <v>1</v>
        <stp/>
        <stp>DELTA</stp>
        <stp>.SPXW240129C4985</stp>
        <tr r="E157" s="7"/>
      </tp>
      <tp>
        <v>0</v>
        <stp/>
        <stp>BID</stp>
        <stp>.SPXW240129C5300</stp>
        <tr r="G181" s="7"/>
      </tp>
      <tp>
        <v>619.29999999999995</v>
        <stp/>
        <stp>BID</stp>
        <stp>.SPXW240129C4300</stp>
        <tr r="G41" s="7"/>
      </tp>
      <tp>
        <v>362.3</v>
        <stp/>
        <stp>BID</stp>
        <stp>.SPXW240129P5300</stp>
        <tr r="M181" s="7"/>
      </tp>
      <tp>
        <v>0</v>
        <stp/>
        <stp>BID</stp>
        <stp>.SPXW240129P4300</stp>
        <tr r="M41" s="7"/>
      </tp>
      <tp>
        <v>594.29999999999995</v>
        <stp/>
        <stp>BID</stp>
        <stp>.SPXW240129C4325</stp>
        <tr r="G42" s="7"/>
      </tp>
      <tp>
        <v>0</v>
        <stp/>
        <stp>BID</stp>
        <stp>.SPXW240129P4325</stp>
        <tr r="M42" s="7"/>
      </tp>
      <tp>
        <v>569.29999999999995</v>
        <stp/>
        <stp>BID</stp>
        <stp>.SPXW240129C4350</stp>
        <tr r="G43" s="7"/>
      </tp>
      <tp>
        <v>0</v>
        <stp/>
        <stp>BID</stp>
        <stp>.SPXW240129P4350</stp>
        <tr r="M43" s="7"/>
      </tp>
      <tp>
        <v>544.29999999999995</v>
        <stp/>
        <stp>BID</stp>
        <stp>.SPXW240129C4375</stp>
        <tr r="G45" s="7"/>
      </tp>
      <tp>
        <v>549.29999999999995</v>
        <stp/>
        <stp>BID</stp>
        <stp>.SPXW240129C4370</stp>
        <tr r="G44" s="7"/>
      </tp>
      <tp>
        <v>0</v>
        <stp/>
        <stp>BID</stp>
        <stp>.SPXW240129P4375</stp>
        <tr r="M45" s="7"/>
      </tp>
      <tp>
        <v>0</v>
        <stp/>
        <stp>BID</stp>
        <stp>.SPXW240129P4370</stp>
        <tr r="M44" s="7"/>
      </tp>
      <tp>
        <v>539.29999999999995</v>
        <stp/>
        <stp>BID</stp>
        <stp>.SPXW240129C4380</stp>
        <tr r="G46" s="7"/>
      </tp>
      <tp>
        <v>0</v>
        <stp/>
        <stp>BID</stp>
        <stp>.SPXW240129P4380</stp>
        <tr r="M46" s="7"/>
      </tp>
      <tp>
        <v>529.29999999999995</v>
        <stp/>
        <stp>BID</stp>
        <stp>.SPXW240129C4390</stp>
        <tr r="G47" s="7"/>
      </tp>
      <tp>
        <v>0</v>
        <stp/>
        <stp>BID</stp>
        <stp>.SPXW240129P4390</stp>
        <tr r="M47" s="7"/>
      </tp>
      <tp t="s">
        <v>C</v>
        <stp/>
        <stp>AX</stp>
        <stp>.SPXW240129C4720</stp>
        <tr r="J104" s="7"/>
      </tp>
      <tp t="s">
        <v>C</v>
        <stp/>
        <stp>BX</stp>
        <stp>.SPXW240129C4420</stp>
        <tr r="H50" s="7"/>
      </tp>
      <tp t="s">
        <v>C</v>
        <stp/>
        <stp>AX</stp>
        <stp>.SPXW240129C4725</stp>
        <tr r="J105" s="7"/>
      </tp>
      <tp t="s">
        <v>C</v>
        <stp/>
        <stp>BX</stp>
        <stp>.SPXW240129C4425</stp>
        <tr r="H51" s="7"/>
      </tp>
      <tp t="s">
        <v>C</v>
        <stp/>
        <stp>AX</stp>
        <stp>.SPXW240129P4720</stp>
        <tr r="P104" s="7"/>
      </tp>
      <tp t="s">
        <v>C</v>
        <stp/>
        <stp>BX</stp>
        <stp>.SPXW240129P4420</stp>
        <tr r="N50" s="7"/>
      </tp>
      <tp t="s">
        <v>C</v>
        <stp/>
        <stp>AX</stp>
        <stp>.SPXW240129P4725</stp>
        <tr r="P105" s="7"/>
      </tp>
      <tp t="s">
        <v>C</v>
        <stp/>
        <stp>BX</stp>
        <stp>.SPXW240129P4425</stp>
        <tr r="N51" s="7"/>
      </tp>
      <tp t="s">
        <v>C</v>
        <stp/>
        <stp>AX</stp>
        <stp>.SPXW240129C4730</stp>
        <tr r="J106" s="7"/>
      </tp>
      <tp t="s">
        <v>C</v>
        <stp/>
        <stp>BX</stp>
        <stp>.SPXW240129C4430</stp>
        <tr r="H52" s="7"/>
      </tp>
      <tp t="s">
        <v>C</v>
        <stp/>
        <stp>AX</stp>
        <stp>.SPXW240129C4735</stp>
        <tr r="J107" s="7"/>
      </tp>
      <tp t="s">
        <v>C</v>
        <stp/>
        <stp>AX</stp>
        <stp>.SPXW240129P4730</stp>
        <tr r="P106" s="7"/>
      </tp>
      <tp t="s">
        <v>C</v>
        <stp/>
        <stp>BX</stp>
        <stp>.SPXW240129P4430</stp>
        <tr r="N52" s="7"/>
      </tp>
      <tp t="s">
        <v>C</v>
        <stp/>
        <stp>AX</stp>
        <stp>.SPXW240129P4735</stp>
        <tr r="P107" s="7"/>
      </tp>
      <tp t="s">
        <v>C</v>
        <stp/>
        <stp>AX</stp>
        <stp>.SPXW240129C4700</stp>
        <tr r="J100" s="7"/>
      </tp>
      <tp t="s">
        <v>C</v>
        <stp/>
        <stp>BX</stp>
        <stp>.SPXW240129C4400</stp>
        <tr r="H48" s="7"/>
      </tp>
      <tp t="s">
        <v>C</v>
        <stp/>
        <stp>BX</stp>
        <stp>.SPXW240129C5400</stp>
        <tr r="H182" s="7"/>
      </tp>
      <tp t="s">
        <v>C</v>
        <stp/>
        <stp>BX</stp>
        <stp>.SPXW240129C1400</stp>
        <tr r="H11" s="7"/>
      </tp>
      <tp t="s">
        <v>C</v>
        <stp/>
        <stp>BX</stp>
        <stp>.SPXW240129C2400</stp>
        <tr r="H16" s="7"/>
      </tp>
      <tp t="s">
        <v>C</v>
        <stp/>
        <stp>AX</stp>
        <stp>.SPXW240129C3700</stp>
        <tr r="J25" s="7"/>
      </tp>
      <tp t="s">
        <v>C</v>
        <stp/>
        <stp>BX</stp>
        <stp>.SPXW240129C3400</stp>
        <tr r="H21" s="7"/>
      </tp>
      <tp t="s">
        <v>C</v>
        <stp/>
        <stp>AX</stp>
        <stp>.SPXW240129C4705</stp>
        <tr r="J101" s="7"/>
      </tp>
      <tp t="s">
        <v>C</v>
        <stp/>
        <stp>AX</stp>
        <stp>.SPXW240129P4700</stp>
        <tr r="P100" s="7"/>
      </tp>
      <tp t="s">
        <v>C</v>
        <stp/>
        <stp>BX</stp>
        <stp>.SPXW240129P4400</stp>
        <tr r="N48" s="7"/>
      </tp>
      <tp t="s">
        <v>C</v>
        <stp/>
        <stp>BX</stp>
        <stp>.SPXW240129P5400</stp>
        <tr r="N182" s="7"/>
      </tp>
      <tp t="s">
        <v>C</v>
        <stp/>
        <stp>BX</stp>
        <stp>.SPXW240129P1400</stp>
        <tr r="N11" s="7"/>
      </tp>
      <tp t="s">
        <v>C</v>
        <stp/>
        <stp>BX</stp>
        <stp>.SPXW240129P2400</stp>
        <tr r="N16" s="7"/>
      </tp>
      <tp t="s">
        <v>C</v>
        <stp/>
        <stp>AX</stp>
        <stp>.SPXW240129P3700</stp>
        <tr r="P25" s="7"/>
      </tp>
      <tp t="s">
        <v>C</v>
        <stp/>
        <stp>BX</stp>
        <stp>.SPXW240129P3400</stp>
        <tr r="N21" s="7"/>
      </tp>
      <tp t="s">
        <v>C</v>
        <stp/>
        <stp>AX</stp>
        <stp>.SPXW240129P4705</stp>
        <tr r="P101" s="7"/>
      </tp>
      <tp t="s">
        <v>C</v>
        <stp/>
        <stp>AX</stp>
        <stp>.SPXW240129C4710</stp>
        <tr r="J102" s="7"/>
      </tp>
      <tp t="s">
        <v>C</v>
        <stp/>
        <stp>BX</stp>
        <stp>.SPXW240129C4410</stp>
        <tr r="H49" s="7"/>
      </tp>
      <tp t="s">
        <v>C</v>
        <stp/>
        <stp>AX</stp>
        <stp>.SPXW240129C4715</stp>
        <tr r="J103" s="7"/>
      </tp>
      <tp t="s">
        <v>C</v>
        <stp/>
        <stp>AX</stp>
        <stp>.SPXW240129P4710</stp>
        <tr r="P102" s="7"/>
      </tp>
      <tp t="s">
        <v>C</v>
        <stp/>
        <stp>BX</stp>
        <stp>.SPXW240129P4410</stp>
        <tr r="N49" s="7"/>
      </tp>
      <tp t="s">
        <v>C</v>
        <stp/>
        <stp>AX</stp>
        <stp>.SPXW240129P4715</stp>
        <tr r="P103" s="7"/>
      </tp>
      <tp t="s">
        <v>C</v>
        <stp/>
        <stp>AX</stp>
        <stp>.SPXW240129C4760</stp>
        <tr r="J112" s="7"/>
      </tp>
      <tp t="s">
        <v>C</v>
        <stp/>
        <stp>BX</stp>
        <stp>.SPXW240129C4460</stp>
        <tr r="H55" s="7"/>
      </tp>
      <tp t="s">
        <v>C</v>
        <stp/>
        <stp>AX</stp>
        <stp>.SPXW240129C4765</stp>
        <tr r="J113" s="7"/>
      </tp>
      <tp t="s">
        <v>C</v>
        <stp/>
        <stp>AX</stp>
        <stp>.SPXW240129P4760</stp>
        <tr r="P112" s="7"/>
      </tp>
      <tp t="s">
        <v>C</v>
        <stp/>
        <stp>BX</stp>
        <stp>.SPXW240129P4460</stp>
        <tr r="N55" s="7"/>
      </tp>
      <tp t="s">
        <v>C</v>
        <stp/>
        <stp>AX</stp>
        <stp>.SPXW240129P4765</stp>
        <tr r="P113" s="7"/>
      </tp>
      <tp t="s">
        <v>C</v>
        <stp/>
        <stp>AX</stp>
        <stp>.SPXW240129C4770</stp>
        <tr r="J114" s="7"/>
      </tp>
      <tp t="s">
        <v>C</v>
        <stp/>
        <stp>BX</stp>
        <stp>.SPXW240129C4470</stp>
        <tr r="H56" s="7"/>
      </tp>
      <tp t="s">
        <v>C</v>
        <stp/>
        <stp>AX</stp>
        <stp>.SPXW240129C4775</stp>
        <tr r="J115" s="7"/>
      </tp>
      <tp t="s">
        <v>C</v>
        <stp/>
        <stp>BX</stp>
        <stp>.SPXW240129C4475</stp>
        <tr r="H57" s="7"/>
      </tp>
      <tp t="s">
        <v>C</v>
        <stp/>
        <stp>AX</stp>
        <stp>.SPXW240129P4770</stp>
        <tr r="P114" s="7"/>
      </tp>
      <tp t="s">
        <v>C</v>
        <stp/>
        <stp>BX</stp>
        <stp>.SPXW240129P4470</stp>
        <tr r="N56" s="7"/>
      </tp>
      <tp t="s">
        <v>C</v>
        <stp/>
        <stp>AX</stp>
        <stp>.SPXW240129P4775</stp>
        <tr r="P115" s="7"/>
      </tp>
      <tp t="s">
        <v>C</v>
        <stp/>
        <stp>BX</stp>
        <stp>.SPXW240129P4475</stp>
        <tr r="N57" s="7"/>
      </tp>
      <tp t="s">
        <v>C</v>
        <stp/>
        <stp>AX</stp>
        <stp>.SPXW240129C4740</stp>
        <tr r="J108" s="7"/>
      </tp>
      <tp t="s">
        <v>C</v>
        <stp/>
        <stp>BX</stp>
        <stp>.SPXW240129C4440</stp>
        <tr r="H53" s="7"/>
      </tp>
      <tp t="s">
        <v>C</v>
        <stp/>
        <stp>AX</stp>
        <stp>.SPXW240129C4745</stp>
        <tr r="J109" s="7"/>
      </tp>
      <tp t="s">
        <v>C</v>
        <stp/>
        <stp>AX</stp>
        <stp>.SPXW240129P4740</stp>
        <tr r="P108" s="7"/>
      </tp>
      <tp t="s">
        <v>C</v>
        <stp/>
        <stp>BX</stp>
        <stp>.SPXW240129P4440</stp>
        <tr r="N53" s="7"/>
      </tp>
      <tp t="s">
        <v>C</v>
        <stp/>
        <stp>AX</stp>
        <stp>.SPXW240129P4745</stp>
        <tr r="P109" s="7"/>
      </tp>
      <tp t="s">
        <v>C</v>
        <stp/>
        <stp>AX</stp>
        <stp>.SPXW240129C4750</stp>
        <tr r="J110" s="7"/>
      </tp>
      <tp t="s">
        <v>C</v>
        <stp/>
        <stp>BX</stp>
        <stp>.SPXW240129C4450</stp>
        <tr r="H54" s="7"/>
      </tp>
      <tp t="s">
        <v>C</v>
        <stp/>
        <stp>AX</stp>
        <stp>.SPXW240129C3750</stp>
        <tr r="J26" s="7"/>
      </tp>
      <tp t="s">
        <v>C</v>
        <stp/>
        <stp>AX</stp>
        <stp>.SPXW240129C4755</stp>
        <tr r="J111" s="7"/>
      </tp>
      <tp t="s">
        <v>C</v>
        <stp/>
        <stp>AX</stp>
        <stp>.SPXW240129P4750</stp>
        <tr r="P110" s="7"/>
      </tp>
      <tp t="s">
        <v>C</v>
        <stp/>
        <stp>BX</stp>
        <stp>.SPXW240129P4450</stp>
        <tr r="N54" s="7"/>
      </tp>
      <tp t="s">
        <v>C</v>
        <stp/>
        <stp>AX</stp>
        <stp>.SPXW240129P3750</stp>
        <tr r="P26" s="7"/>
      </tp>
      <tp t="s">
        <v>C</v>
        <stp/>
        <stp>AX</stp>
        <stp>.SPXW240129P4755</stp>
        <tr r="P111" s="7"/>
      </tp>
      <tp t="s">
        <v>C</v>
        <stp/>
        <stp>AX</stp>
        <stp>.SPXW240129C4780</stp>
        <tr r="J116" s="7"/>
      </tp>
      <tp t="s">
        <v>C</v>
        <stp/>
        <stp>BX</stp>
        <stp>.SPXW240129C4480</stp>
        <tr r="H58" s="7"/>
      </tp>
      <tp t="s">
        <v>C</v>
        <stp/>
        <stp>AX</stp>
        <stp>.SPXW240129C4785</stp>
        <tr r="J117" s="7"/>
      </tp>
      <tp t="s">
        <v>C</v>
        <stp/>
        <stp>AX</stp>
        <stp>.SPXW240129P4780</stp>
        <tr r="P116" s="7"/>
      </tp>
      <tp t="s">
        <v>C</v>
        <stp/>
        <stp>BX</stp>
        <stp>.SPXW240129P4480</stp>
        <tr r="N58" s="7"/>
      </tp>
      <tp t="s">
        <v>C</v>
        <stp/>
        <stp>AX</stp>
        <stp>.SPXW240129P4785</stp>
        <tr r="P117" s="7"/>
      </tp>
      <tp t="s">
        <v>C</v>
        <stp/>
        <stp>AX</stp>
        <stp>.SPXW240129C4790</stp>
        <tr r="J118" s="7"/>
      </tp>
      <tp t="s">
        <v>C</v>
        <stp/>
        <stp>BX</stp>
        <stp>.SPXW240129C4490</stp>
        <tr r="H59" s="7"/>
      </tp>
      <tp t="s">
        <v>C</v>
        <stp/>
        <stp>AX</stp>
        <stp>.SPXW240129C4795</stp>
        <tr r="J119" s="7"/>
      </tp>
      <tp t="s">
        <v>C</v>
        <stp/>
        <stp>AX</stp>
        <stp>.SPXW240129P4790</stp>
        <tr r="P118" s="7"/>
      </tp>
      <tp t="s">
        <v>C</v>
        <stp/>
        <stp>BX</stp>
        <stp>.SPXW240129P4490</stp>
        <tr r="N59" s="7"/>
      </tp>
      <tp t="s">
        <v>C</v>
        <stp/>
        <stp>AX</stp>
        <stp>.SPXW240129P4795</stp>
        <tr r="P119" s="7"/>
      </tp>
      <tp>
        <v>6</v>
        <stp/>
        <stp>VOLUME</stp>
        <stp>.QQQ241106P512</stp>
        <tr r="L18" s="4"/>
      </tp>
      <tp>
        <v>6688</v>
        <stp/>
        <stp>VOLUME</stp>
        <stp>.QQQ241106C512</stp>
        <tr r="E18" s="4"/>
      </tp>
      <tp>
        <v>548</v>
        <stp/>
        <stp>VOLUME</stp>
        <stp>.QQQ241106P511</stp>
        <tr r="L17" s="4"/>
      </tp>
      <tp>
        <v>4556</v>
        <stp/>
        <stp>VOLUME</stp>
        <stp>.QQQ241106C511</stp>
        <tr r="E17" s="4"/>
      </tp>
      <tp>
        <v>119</v>
        <stp/>
        <stp>VOLUME</stp>
        <stp>.QQQ241106P510</stp>
        <tr r="L16" s="4"/>
      </tp>
      <tp>
        <v>16876</v>
        <stp/>
        <stp>VOLUME</stp>
        <stp>.QQQ241106C510</stp>
        <tr r="E16" s="4"/>
      </tp>
      <tp>
        <v>116671</v>
        <stp/>
        <stp>VOLUME</stp>
        <stp>.QQQ241106P503</stp>
        <tr r="L9" s="4"/>
      </tp>
      <tp>
        <v>190094</v>
        <stp/>
        <stp>VOLUME</stp>
        <stp>.QQQ241106C503</stp>
        <tr r="E9" s="4"/>
      </tp>
      <tp>
        <v>108603</v>
        <stp/>
        <stp>VOLUME</stp>
        <stp>.QQQ241106P502</stp>
        <tr r="L8" s="4"/>
      </tp>
      <tp>
        <v>90580</v>
        <stp/>
        <stp>VOLUME</stp>
        <stp>.QQQ241106C502</stp>
        <tr r="E8" s="4"/>
      </tp>
      <tp>
        <v>96598</v>
        <stp/>
        <stp>VOLUME</stp>
        <stp>.QQQ241106P501</stp>
        <tr r="L7" s="4"/>
      </tp>
      <tp>
        <v>54104</v>
        <stp/>
        <stp>VOLUME</stp>
        <stp>.QQQ241106C501</stp>
        <tr r="E7" s="4"/>
      </tp>
      <tp>
        <v>123216</v>
        <stp/>
        <stp>VOLUME</stp>
        <stp>.QQQ241106P500</stp>
        <tr r="L6" s="4"/>
      </tp>
      <tp>
        <v>39411</v>
        <stp/>
        <stp>VOLUME</stp>
        <stp>.QQQ241106C500</stp>
        <tr r="E6" s="4"/>
      </tp>
      <tp>
        <v>1039</v>
        <stp/>
        <stp>VOLUME</stp>
        <stp>.QQQ241106P507</stp>
        <tr r="L13" s="4"/>
      </tp>
      <tp>
        <v>28917</v>
        <stp/>
        <stp>VOLUME</stp>
        <stp>.QQQ241106C507</stp>
        <tr r="E13" s="4"/>
      </tp>
      <tp>
        <v>2866</v>
        <stp/>
        <stp>VOLUME</stp>
        <stp>.QQQ241106P506</stp>
        <tr r="L12" s="4"/>
      </tp>
      <tp>
        <v>61449</v>
        <stp/>
        <stp>VOLUME</stp>
        <stp>.QQQ241106C506</stp>
        <tr r="E12" s="4"/>
      </tp>
      <tp>
        <v>30466</v>
        <stp/>
        <stp>VOLUME</stp>
        <stp>.QQQ241106P505</stp>
        <tr r="L11" s="4"/>
      </tp>
      <tp>
        <v>134695</v>
        <stp/>
        <stp>VOLUME</stp>
        <stp>.QQQ241106C505</stp>
        <tr r="E11" s="4"/>
      </tp>
      <tp>
        <v>66611</v>
        <stp/>
        <stp>VOLUME</stp>
        <stp>.QQQ241106P504</stp>
        <tr r="L10" s="4"/>
      </tp>
      <tp>
        <v>139903</v>
        <stp/>
        <stp>VOLUME</stp>
        <stp>.QQQ241106C504</stp>
        <tr r="E10" s="4"/>
      </tp>
      <tp>
        <v>23</v>
        <stp/>
        <stp>VOLUME</stp>
        <stp>.QQQ241106P509</stp>
        <tr r="L15" s="4"/>
      </tp>
      <tp>
        <v>9458</v>
        <stp/>
        <stp>VOLUME</stp>
        <stp>.QQQ241106C509</stp>
        <tr r="E15" s="4"/>
      </tp>
      <tp>
        <v>87</v>
        <stp/>
        <stp>VOLUME</stp>
        <stp>.QQQ241106P508</stp>
        <tr r="L14" s="4"/>
      </tp>
      <tp>
        <v>26100</v>
        <stp/>
        <stp>VOLUME</stp>
        <stp>.QQQ241106C508</stp>
        <tr r="E14" s="4"/>
      </tp>
      <tp>
        <v>3719.3</v>
        <stp/>
        <stp>BID</stp>
        <stp>.SPXW240129C1200</stp>
        <tr r="G10" s="7"/>
      </tp>
      <tp>
        <v>1719.3</v>
        <stp/>
        <stp>BID</stp>
        <stp>.SPXW240129C3200</stp>
        <tr r="G20" s="7"/>
      </tp>
      <tp>
        <v>2719.3</v>
        <stp/>
        <stp>BID</stp>
        <stp>.SPXW240129C2200</stp>
        <tr r="G15" s="7"/>
      </tp>
      <tp>
        <v>0</v>
        <stp/>
        <stp>BID</stp>
        <stp>.SPXW240129C5200</stp>
        <tr r="G178" s="7"/>
      </tp>
      <tp>
        <v>719.3</v>
        <stp/>
        <stp>BID</stp>
        <stp>.SPXW240129C4200</stp>
        <tr r="G37" s="7"/>
      </tp>
      <tp>
        <v>0</v>
        <stp/>
        <stp>BID</stp>
        <stp>.SPXW240129C6200</stp>
        <tr r="G187" s="7"/>
      </tp>
      <tp>
        <v>0</v>
        <stp/>
        <stp>BID</stp>
        <stp>.SPXW240129P1200</stp>
        <tr r="M10" s="7"/>
      </tp>
      <tp>
        <v>0</v>
        <stp/>
        <stp>BID</stp>
        <stp>.SPXW240129P3200</stp>
        <tr r="M20" s="7"/>
      </tp>
      <tp>
        <v>0</v>
        <stp/>
        <stp>BID</stp>
        <stp>.SPXW240129P2200</stp>
        <tr r="M15" s="7"/>
      </tp>
      <tp>
        <v>262.3</v>
        <stp/>
        <stp>BID</stp>
        <stp>.SPXW240129P5200</stp>
        <tr r="M178" s="7"/>
      </tp>
      <tp>
        <v>0</v>
        <stp/>
        <stp>BID</stp>
        <stp>.SPXW240129P4200</stp>
        <tr r="M37" s="7"/>
      </tp>
      <tp>
        <v>1262.3</v>
        <stp/>
        <stp>BID</stp>
        <stp>.SPXW240129P6200</stp>
        <tr r="M187" s="7"/>
      </tp>
      <tp>
        <v>0</v>
        <stp/>
        <stp>BID</stp>
        <stp>.SPXW240129C5225</stp>
        <tr r="G179" s="7"/>
      </tp>
      <tp>
        <v>694.3</v>
        <stp/>
        <stp>BID</stp>
        <stp>.SPXW240129C4225</stp>
        <tr r="G38" s="7"/>
      </tp>
      <tp>
        <v>287.5</v>
        <stp/>
        <stp>BID</stp>
        <stp>.SPXW240129P5225</stp>
        <tr r="M179" s="7"/>
      </tp>
      <tp>
        <v>0</v>
        <stp/>
        <stp>BID</stp>
        <stp>.SPXW240129P4225</stp>
        <tr r="M38" s="7"/>
      </tp>
      <tp>
        <v>0</v>
        <stp/>
        <stp>BID</stp>
        <stp>.SPXW240129C5250</stp>
        <tr r="G180" s="7"/>
      </tp>
      <tp>
        <v>669.3</v>
        <stp/>
        <stp>BID</stp>
        <stp>.SPXW240129C4250</stp>
        <tr r="G39" s="7"/>
      </tp>
      <tp>
        <v>312.3</v>
        <stp/>
        <stp>BID</stp>
        <stp>.SPXW240129P5250</stp>
        <tr r="M180" s="7"/>
      </tp>
      <tp>
        <v>0</v>
        <stp/>
        <stp>BID</stp>
        <stp>.SPXW240129P4250</stp>
        <tr r="M39" s="7"/>
      </tp>
      <tp>
        <v>644.29999999999995</v>
        <stp/>
        <stp>BID</stp>
        <stp>.SPXW240129C4275</stp>
        <tr r="G40" s="7"/>
      </tp>
      <tp>
        <v>0</v>
        <stp/>
        <stp>BID</stp>
        <stp>.SPXW240129P4275</stp>
        <tr r="M40" s="7"/>
      </tp>
      <tp t="s">
        <v>N/A</v>
        <stp/>
        <stp>YIELD</stp>
        <stp>SPX</stp>
        <tr r="B7" s="7"/>
      </tp>
      <tp t="s">
        <v>C</v>
        <stp/>
        <stp>AX</stp>
        <stp>.SPXW240129C4620</stp>
        <tr r="J84" s="7"/>
      </tp>
      <tp t="s">
        <v>C</v>
        <stp/>
        <stp>BX</stp>
        <stp>.SPXW240129C4520</stp>
        <tr r="H64" s="7"/>
      </tp>
      <tp t="s">
        <v>C</v>
        <stp/>
        <stp>AX</stp>
        <stp>.SPXW240129C4625</stp>
        <tr r="J85" s="7"/>
      </tp>
      <tp t="s">
        <v>C</v>
        <stp/>
        <stp>BX</stp>
        <stp>.SPXW240129C4525</stp>
        <tr r="H65" s="7"/>
      </tp>
      <tp t="s">
        <v>C</v>
        <stp/>
        <stp>AX</stp>
        <stp>.SPXW240129P4620</stp>
        <tr r="P84" s="7"/>
      </tp>
      <tp t="s">
        <v>C</v>
        <stp/>
        <stp>BX</stp>
        <stp>.SPXW240129P4520</stp>
        <tr r="N64" s="7"/>
      </tp>
      <tp t="s">
        <v>C</v>
        <stp/>
        <stp>AX</stp>
        <stp>.SPXW240129P4625</stp>
        <tr r="P85" s="7"/>
      </tp>
      <tp t="s">
        <v>C</v>
        <stp/>
        <stp>BX</stp>
        <stp>.SPXW240129P4525</stp>
        <tr r="N65" s="7"/>
      </tp>
      <tp t="s">
        <v>C</v>
        <stp/>
        <stp>AX</stp>
        <stp>.SPXW240129C4630</stp>
        <tr r="J86" s="7"/>
      </tp>
      <tp t="s">
        <v>C</v>
        <stp/>
        <stp>BX</stp>
        <stp>.SPXW240129C4530</stp>
        <tr r="H66" s="7"/>
      </tp>
      <tp t="s">
        <v>C</v>
        <stp/>
        <stp>AX</stp>
        <stp>.SPXW240129C4635</stp>
        <tr r="J87" s="7"/>
      </tp>
      <tp t="s">
        <v>C</v>
        <stp/>
        <stp>BX</stp>
        <stp>.SPXW240129C4535</stp>
        <tr r="H67" s="7"/>
      </tp>
      <tp t="s">
        <v>C</v>
        <stp/>
        <stp>AX</stp>
        <stp>.SPXW240129P4630</stp>
        <tr r="P86" s="7"/>
      </tp>
      <tp t="s">
        <v>C</v>
        <stp/>
        <stp>BX</stp>
        <stp>.SPXW240129P4530</stp>
        <tr r="N66" s="7"/>
      </tp>
      <tp t="s">
        <v>C</v>
        <stp/>
        <stp>AX</stp>
        <stp>.SPXW240129P4635</stp>
        <tr r="P87" s="7"/>
      </tp>
      <tp t="s">
        <v>C</v>
        <stp/>
        <stp>BX</stp>
        <stp>.SPXW240129P4535</stp>
        <tr r="N67" s="7"/>
      </tp>
      <tp t="s">
        <v>C</v>
        <stp/>
        <stp>AX</stp>
        <stp>.SPXW240129C4600</stp>
        <tr r="J80" s="7"/>
      </tp>
      <tp t="s">
        <v>C</v>
        <stp/>
        <stp>BX</stp>
        <stp>.SPXW240129C4500</stp>
        <tr r="H60" s="7"/>
      </tp>
      <tp t="s">
        <v>C</v>
        <stp/>
        <stp>AX</stp>
        <stp>.SPXW240129C5600</stp>
        <tr r="J184" s="7"/>
      </tp>
      <tp t="s">
        <v>C</v>
        <stp/>
        <stp>BX</stp>
        <stp>.SPXW240129C5500</stp>
        <tr r="H183" s="7"/>
      </tp>
      <tp t="s">
        <v>C</v>
        <stp/>
        <stp>AX</stp>
        <stp>.SPXW240129C1600</stp>
        <tr r="J12" s="7"/>
      </tp>
      <tp t="s">
        <v>C</v>
        <stp/>
        <stp>AX</stp>
        <stp>.SPXW240129C2600</stp>
        <tr r="J17" s="7"/>
      </tp>
      <tp t="s">
        <v>C</v>
        <stp/>
        <stp>AX</stp>
        <stp>.SPXW240129C3600</stp>
        <tr r="J23" s="7"/>
      </tp>
      <tp t="s">
        <v>C</v>
        <stp/>
        <stp>BX</stp>
        <stp>.SPXW240129C3500</stp>
        <tr r="H22" s="7"/>
      </tp>
      <tp t="s">
        <v>C</v>
        <stp/>
        <stp>AX</stp>
        <stp>.SPXW240129C4605</stp>
        <tr r="J81" s="7"/>
      </tp>
      <tp t="s">
        <v>C</v>
        <stp/>
        <stp>BX</stp>
        <stp>.SPXW240129C4505</stp>
        <tr r="H61" s="7"/>
      </tp>
      <tp t="s">
        <v>C</v>
        <stp/>
        <stp>AX</stp>
        <stp>.SPXW240129P4600</stp>
        <tr r="P80" s="7"/>
      </tp>
      <tp t="s">
        <v>C</v>
        <stp/>
        <stp>BX</stp>
        <stp>.SPXW240129P4500</stp>
        <tr r="N60" s="7"/>
      </tp>
      <tp t="s">
        <v>C</v>
        <stp/>
        <stp>AX</stp>
        <stp>.SPXW240129P5600</stp>
        <tr r="P184" s="7"/>
      </tp>
      <tp t="s">
        <v>C</v>
        <stp/>
        <stp>BX</stp>
        <stp>.SPXW240129P5500</stp>
        <tr r="N183" s="7"/>
      </tp>
      <tp t="s">
        <v>C</v>
        <stp/>
        <stp>AX</stp>
        <stp>.SPXW240129P1600</stp>
        <tr r="P12" s="7"/>
      </tp>
      <tp t="s">
        <v>C</v>
        <stp/>
        <stp>AX</stp>
        <stp>.SPXW240129P2600</stp>
        <tr r="P17" s="7"/>
      </tp>
      <tp t="s">
        <v>C</v>
        <stp/>
        <stp>AX</stp>
        <stp>.SPXW240129P3600</stp>
        <tr r="P23" s="7"/>
      </tp>
      <tp t="s">
        <v>C</v>
        <stp/>
        <stp>BX</stp>
        <stp>.SPXW240129P3500</stp>
        <tr r="N22" s="7"/>
      </tp>
      <tp t="s">
        <v>C</v>
        <stp/>
        <stp>AX</stp>
        <stp>.SPXW240129P4605</stp>
        <tr r="P81" s="7"/>
      </tp>
      <tp t="s">
        <v>C</v>
        <stp/>
        <stp>BX</stp>
        <stp>.SPXW240129P4505</stp>
        <tr r="N61" s="7"/>
      </tp>
      <tp t="s">
        <v>C</v>
        <stp/>
        <stp>AX</stp>
        <stp>.SPXW240129C4610</stp>
        <tr r="J82" s="7"/>
      </tp>
      <tp t="s">
        <v>C</v>
        <stp/>
        <stp>BX</stp>
        <stp>.SPXW240129C4510</stp>
        <tr r="H62" s="7"/>
      </tp>
      <tp t="s">
        <v>C</v>
        <stp/>
        <stp>AX</stp>
        <stp>.SPXW240129C4615</stp>
        <tr r="J83" s="7"/>
      </tp>
      <tp t="s">
        <v>C</v>
        <stp/>
        <stp>BX</stp>
        <stp>.SPXW240129C4515</stp>
        <tr r="H63" s="7"/>
      </tp>
      <tp t="s">
        <v>C</v>
        <stp/>
        <stp>AX</stp>
        <stp>.SPXW240129P4610</stp>
        <tr r="P82" s="7"/>
      </tp>
      <tp t="s">
        <v>C</v>
        <stp/>
        <stp>BX</stp>
        <stp>.SPXW240129P4510</stp>
        <tr r="N62" s="7"/>
      </tp>
      <tp t="s">
        <v>C</v>
        <stp/>
        <stp>AX</stp>
        <stp>.SPXW240129P4615</stp>
        <tr r="P83" s="7"/>
      </tp>
      <tp t="s">
        <v>C</v>
        <stp/>
        <stp>BX</stp>
        <stp>.SPXW240129P4515</stp>
        <tr r="N63" s="7"/>
      </tp>
      <tp t="s">
        <v>C</v>
        <stp/>
        <stp>AX</stp>
        <stp>.SPXW240129C4660</stp>
        <tr r="J92" s="7"/>
      </tp>
      <tp t="s">
        <v>C</v>
        <stp/>
        <stp>BX</stp>
        <stp>.SPXW240129C4560</stp>
        <tr r="H72" s="7"/>
      </tp>
      <tp t="s">
        <v>C</v>
        <stp/>
        <stp>AX</stp>
        <stp>.SPXW240129C4665</stp>
        <tr r="J93" s="7"/>
      </tp>
      <tp t="s">
        <v>C</v>
        <stp/>
        <stp>BX</stp>
        <stp>.SPXW240129C4565</stp>
        <tr r="H73" s="7"/>
      </tp>
      <tp t="s">
        <v>C</v>
        <stp/>
        <stp>AX</stp>
        <stp>.SPXW240129P4660</stp>
        <tr r="P92" s="7"/>
      </tp>
      <tp t="s">
        <v>C</v>
        <stp/>
        <stp>BX</stp>
        <stp>.SPXW240129P4560</stp>
        <tr r="N72" s="7"/>
      </tp>
      <tp t="s">
        <v>C</v>
        <stp/>
        <stp>AX</stp>
        <stp>.SPXW240129P4665</stp>
        <tr r="P93" s="7"/>
      </tp>
      <tp t="s">
        <v>C</v>
        <stp/>
        <stp>BX</stp>
        <stp>.SPXW240129P4565</stp>
        <tr r="N73" s="7"/>
      </tp>
      <tp t="s">
        <v>C</v>
        <stp/>
        <stp>AX</stp>
        <stp>.SPXW240129C4670</stp>
        <tr r="J94" s="7"/>
      </tp>
      <tp t="s">
        <v>C</v>
        <stp/>
        <stp>BX</stp>
        <stp>.SPXW240129C4570</stp>
        <tr r="H74" s="7"/>
      </tp>
      <tp t="s">
        <v>C</v>
        <stp/>
        <stp>AX</stp>
        <stp>.SPXW240129C4675</stp>
        <tr r="J95" s="7"/>
      </tp>
      <tp t="s">
        <v>C</v>
        <stp/>
        <stp>BX</stp>
        <stp>.SPXW240129C4575</stp>
        <tr r="H75" s="7"/>
      </tp>
      <tp t="s">
        <v>C</v>
        <stp/>
        <stp>AX</stp>
        <stp>.SPXW240129P4670</stp>
        <tr r="P94" s="7"/>
      </tp>
      <tp t="s">
        <v>C</v>
        <stp/>
        <stp>BX</stp>
        <stp>.SPXW240129P4570</stp>
        <tr r="N74" s="7"/>
      </tp>
      <tp t="s">
        <v>C</v>
        <stp/>
        <stp>AX</stp>
        <stp>.SPXW240129P4675</stp>
        <tr r="P95" s="7"/>
      </tp>
      <tp t="s">
        <v>C</v>
        <stp/>
        <stp>BX</stp>
        <stp>.SPXW240129P4575</stp>
        <tr r="N75" s="7"/>
      </tp>
      <tp t="s">
        <v>C</v>
        <stp/>
        <stp>AX</stp>
        <stp>.SPXW240129C4640</stp>
        <tr r="J88" s="7"/>
      </tp>
      <tp t="s">
        <v>C</v>
        <stp/>
        <stp>BX</stp>
        <stp>.SPXW240129C4540</stp>
        <tr r="H68" s="7"/>
      </tp>
      <tp t="s">
        <v>C</v>
        <stp/>
        <stp>AX</stp>
        <stp>.SPXW240129C4645</stp>
        <tr r="J89" s="7"/>
      </tp>
      <tp t="s">
        <v>C</v>
        <stp/>
        <stp>BX</stp>
        <stp>.SPXW240129C4545</stp>
        <tr r="H69" s="7"/>
      </tp>
      <tp t="s">
        <v>C</v>
        <stp/>
        <stp>AX</stp>
        <stp>.SPXW240129P4640</stp>
        <tr r="P88" s="7"/>
      </tp>
      <tp t="s">
        <v>C</v>
        <stp/>
        <stp>BX</stp>
        <stp>.SPXW240129P4540</stp>
        <tr r="N68" s="7"/>
      </tp>
      <tp t="s">
        <v>C</v>
        <stp/>
        <stp>AX</stp>
        <stp>.SPXW240129P4645</stp>
        <tr r="P89" s="7"/>
      </tp>
      <tp t="s">
        <v>C</v>
        <stp/>
        <stp>BX</stp>
        <stp>.SPXW240129P4545</stp>
        <tr r="N69" s="7"/>
      </tp>
      <tp t="s">
        <v>C</v>
        <stp/>
        <stp>AX</stp>
        <stp>.SPXW240129C4650</stp>
        <tr r="J90" s="7"/>
      </tp>
      <tp t="s">
        <v>C</v>
        <stp/>
        <stp>BX</stp>
        <stp>.SPXW240129C4550</stp>
        <tr r="H70" s="7"/>
      </tp>
      <tp t="s">
        <v>C</v>
        <stp/>
        <stp>AX</stp>
        <stp>.SPXW240129C3650</stp>
        <tr r="J24" s="7"/>
      </tp>
      <tp t="s">
        <v>C</v>
        <stp/>
        <stp>AX</stp>
        <stp>.SPXW240129C4655</stp>
        <tr r="J91" s="7"/>
      </tp>
      <tp t="s">
        <v>C</v>
        <stp/>
        <stp>BX</stp>
        <stp>.SPXW240129C4555</stp>
        <tr r="H71" s="7"/>
      </tp>
      <tp t="s">
        <v>C</v>
        <stp/>
        <stp>AX</stp>
        <stp>.SPXW240129P4650</stp>
        <tr r="P90" s="7"/>
      </tp>
      <tp t="s">
        <v>C</v>
        <stp/>
        <stp>BX</stp>
        <stp>.SPXW240129P4550</stp>
        <tr r="N70" s="7"/>
      </tp>
      <tp t="s">
        <v>C</v>
        <stp/>
        <stp>AX</stp>
        <stp>.SPXW240129P3650</stp>
        <tr r="P24" s="7"/>
      </tp>
      <tp t="s">
        <v>C</v>
        <stp/>
        <stp>AX</stp>
        <stp>.SPXW240129P4655</stp>
        <tr r="P91" s="7"/>
      </tp>
      <tp t="s">
        <v>C</v>
        <stp/>
        <stp>BX</stp>
        <stp>.SPXW240129P4555</stp>
        <tr r="N71" s="7"/>
      </tp>
      <tp t="s">
        <v>C</v>
        <stp/>
        <stp>AX</stp>
        <stp>.SPXW240129C4680</stp>
        <tr r="J96" s="7"/>
      </tp>
      <tp t="s">
        <v>C</v>
        <stp/>
        <stp>BX</stp>
        <stp>.SPXW240129C4580</stp>
        <tr r="H76" s="7"/>
      </tp>
      <tp t="s">
        <v>C</v>
        <stp/>
        <stp>AX</stp>
        <stp>.SPXW240129C4685</stp>
        <tr r="J97" s="7"/>
      </tp>
      <tp t="s">
        <v>C</v>
        <stp/>
        <stp>BX</stp>
        <stp>.SPXW240129C4585</stp>
        <tr r="H77" s="7"/>
      </tp>
      <tp t="s">
        <v>C</v>
        <stp/>
        <stp>AX</stp>
        <stp>.SPXW240129P4680</stp>
        <tr r="P96" s="7"/>
      </tp>
      <tp t="s">
        <v>C</v>
        <stp/>
        <stp>BX</stp>
        <stp>.SPXW240129P4580</stp>
        <tr r="N76" s="7"/>
      </tp>
      <tp t="s">
        <v>C</v>
        <stp/>
        <stp>AX</stp>
        <stp>.SPXW240129P4685</stp>
        <tr r="P97" s="7"/>
      </tp>
      <tp t="s">
        <v>C</v>
        <stp/>
        <stp>BX</stp>
        <stp>.SPXW240129P4585</stp>
        <tr r="N77" s="7"/>
      </tp>
      <tp t="s">
        <v>C</v>
        <stp/>
        <stp>AX</stp>
        <stp>.SPXW240129C4690</stp>
        <tr r="J98" s="7"/>
      </tp>
      <tp t="s">
        <v>C</v>
        <stp/>
        <stp>BX</stp>
        <stp>.SPXW240129C4590</stp>
        <tr r="H78" s="7"/>
      </tp>
      <tp t="s">
        <v>C</v>
        <stp/>
        <stp>AX</stp>
        <stp>.SPXW240129C4695</stp>
        <tr r="J99" s="7"/>
      </tp>
      <tp t="s">
        <v>C</v>
        <stp/>
        <stp>BX</stp>
        <stp>.SPXW240129C4595</stp>
        <tr r="H79" s="7"/>
      </tp>
      <tp t="s">
        <v>C</v>
        <stp/>
        <stp>AX</stp>
        <stp>.SPXW240129P4690</stp>
        <tr r="P98" s="7"/>
      </tp>
      <tp t="s">
        <v>C</v>
        <stp/>
        <stp>BX</stp>
        <stp>.SPXW240129P4590</stp>
        <tr r="N78" s="7"/>
      </tp>
      <tp t="s">
        <v>C</v>
        <stp/>
        <stp>AX</stp>
        <stp>.SPXW240129P4695</stp>
        <tr r="P99" s="7"/>
      </tp>
      <tp t="s">
        <v>C</v>
        <stp/>
        <stp>BX</stp>
        <stp>.SPXW240129P4595</stp>
        <tr r="N79" s="7"/>
      </tp>
      <tp>
        <v>87020</v>
        <stp/>
        <stp>VOLUME</stp>
        <stp>.QQQ241106P497</stp>
        <tr r="L3" s="4"/>
      </tp>
      <tp>
        <v>1980</v>
        <stp/>
        <stp>VOLUME</stp>
        <stp>.QQQ241106C497</stp>
        <tr r="E2" s="4"/>
        <tr r="E3" s="4"/>
      </tp>
      <tp>
        <v>44157</v>
        <stp/>
        <stp>VOLUME</stp>
        <stp>.QQQ241106P496</stp>
        <tr r="L2" s="4"/>
      </tp>
      <tp>
        <v>62125</v>
        <stp/>
        <stp>VOLUME</stp>
        <stp>.QQQ241106P499</stp>
        <tr r="L5" s="4"/>
      </tp>
      <tp>
        <v>6538</v>
        <stp/>
        <stp>VOLUME</stp>
        <stp>.QQQ241106C499</stp>
        <tr r="E5" s="4"/>
      </tp>
      <tp>
        <v>75672</v>
        <stp/>
        <stp>VOLUME</stp>
        <stp>.QQQ241106P498</stp>
        <tr r="L4" s="4"/>
      </tp>
      <tp>
        <v>5052</v>
        <stp/>
        <stp>VOLUME</stp>
        <stp>.QQQ241106C498</stp>
        <tr r="E4" s="4"/>
      </tp>
      <tp>
        <v>0</v>
        <stp/>
        <stp>OPEN_INT</stp>
        <stp>.SPXW240129C4100</stp>
        <tr r="D33" s="7"/>
      </tp>
      <tp>
        <v>2155</v>
        <stp/>
        <stp>OPEN_INT</stp>
        <stp>.SPXW240129C5100</stp>
        <tr r="D174" s="7"/>
      </tp>
      <tp>
        <v>2842</v>
        <stp/>
        <stp>OPEN_INT</stp>
        <stp>.SPXW240129P4100</stp>
        <tr r="R33" s="7"/>
      </tp>
      <tp>
        <v>0</v>
        <stp/>
        <stp>OPEN_INT</stp>
        <stp>.SPXW240129P5100</stp>
        <tr r="R174" s="7"/>
      </tp>
      <tp>
        <v>0</v>
        <stp/>
        <stp>OPEN_INT</stp>
        <stp>.SPXW240129C4125</stp>
        <tr r="D34" s="7"/>
      </tp>
      <tp>
        <v>1275</v>
        <stp/>
        <stp>OPEN_INT</stp>
        <stp>.SPXW240129C5125</stp>
        <tr r="D175" s="7"/>
      </tp>
      <tp>
        <v>368</v>
        <stp/>
        <stp>OPEN_INT</stp>
        <stp>.SPXW240129P4125</stp>
        <tr r="R34" s="7"/>
      </tp>
      <tp>
        <v>0</v>
        <stp/>
        <stp>OPEN_INT</stp>
        <stp>.SPXW240129P5125</stp>
        <tr r="R175" s="7"/>
      </tp>
      <tp>
        <v>0</v>
        <stp/>
        <stp>OPEN_INT</stp>
        <stp>.SPXW240129C4150</stp>
        <tr r="D35" s="7"/>
      </tp>
      <tp>
        <v>105</v>
        <stp/>
        <stp>OPEN_INT</stp>
        <stp>.SPXW240129C5150</stp>
        <tr r="D176" s="7"/>
      </tp>
      <tp>
        <v>4564</v>
        <stp/>
        <stp>OPEN_INT</stp>
        <stp>.SPXW240129P4150</stp>
        <tr r="R35" s="7"/>
      </tp>
      <tp>
        <v>0</v>
        <stp/>
        <stp>OPEN_INT</stp>
        <stp>.SPXW240129P5150</stp>
        <tr r="R176" s="7"/>
      </tp>
      <tp>
        <v>0</v>
        <stp/>
        <stp>OPEN_INT</stp>
        <stp>.SPXW240129C4175</stp>
        <tr r="D36" s="7"/>
      </tp>
      <tp>
        <v>6</v>
        <stp/>
        <stp>OPEN_INT</stp>
        <stp>.SPXW240129C5175</stp>
        <tr r="D177" s="7"/>
      </tp>
      <tp>
        <v>819</v>
        <stp/>
        <stp>OPEN_INT</stp>
        <stp>.SPXW240129P4175</stp>
        <tr r="R36" s="7"/>
      </tp>
      <tp>
        <v>0</v>
        <stp/>
        <stp>OPEN_INT</stp>
        <stp>.SPXW240129P5175</stp>
        <tr r="R177" s="7"/>
      </tp>
      <tp>
        <v>35</v>
        <stp/>
        <stp>OPEN_INT</stp>
        <stp>.SPXW240129C5080</stp>
        <tr r="D173" s="7"/>
      </tp>
      <tp>
        <v>0</v>
        <stp/>
        <stp>OPEN_INT</stp>
        <stp>.SPXW240129P5080</stp>
        <tr r="R173" s="7"/>
      </tp>
      <tp>
        <v>1186</v>
        <stp/>
        <stp>OPEN_INT</stp>
        <stp>.SPXW240129C5010</stp>
        <tr r="D162" s="7"/>
      </tp>
      <tp>
        <v>66</v>
        <stp/>
        <stp>OPEN_INT</stp>
        <stp>.SPXW240129C5015</stp>
        <tr r="D163" s="7"/>
      </tp>
      <tp>
        <v>0</v>
        <stp/>
        <stp>OPEN_INT</stp>
        <stp>.SPXW240129P5010</stp>
        <tr r="R162" s="7"/>
      </tp>
      <tp>
        <v>0</v>
        <stp/>
        <stp>OPEN_INT</stp>
        <stp>.SPXW240129P5015</stp>
        <tr r="R163" s="7"/>
      </tp>
      <tp>
        <v>0</v>
        <stp/>
        <stp>OPEN_INT</stp>
        <stp>.SPXW240129C6000</stp>
        <tr r="D186" s="7"/>
      </tp>
      <tp>
        <v>0</v>
        <stp/>
        <stp>OPEN_INT</stp>
        <stp>.SPXW240129C4000</stp>
        <tr r="D31" s="7"/>
      </tp>
      <tp>
        <v>3770</v>
        <stp/>
        <stp>OPEN_INT</stp>
        <stp>.SPXW240129C5000</stp>
        <tr r="D160" s="7"/>
      </tp>
      <tp>
        <v>0</v>
        <stp/>
        <stp>OPEN_INT</stp>
        <stp>.SPXW240129C2000</stp>
        <tr r="D14" s="7"/>
      </tp>
      <tp>
        <v>0</v>
        <stp/>
        <stp>OPEN_INT</stp>
        <stp>.SPXW240129C3000</stp>
        <tr r="D19" s="7"/>
      </tp>
      <tp>
        <v>1248</v>
        <stp/>
        <stp>OPEN_INT</stp>
        <stp>.SPXW240129C5005</stp>
        <tr r="D161" s="7"/>
      </tp>
      <tp>
        <v>0</v>
        <stp/>
        <stp>OPEN_INT</stp>
        <stp>.SPXW240129P6000</stp>
        <tr r="R186" s="7"/>
      </tp>
      <tp>
        <v>5798</v>
        <stp/>
        <stp>OPEN_INT</stp>
        <stp>.SPXW240129P4000</stp>
        <tr r="R31" s="7"/>
      </tp>
      <tp>
        <v>0</v>
        <stp/>
        <stp>OPEN_INT</stp>
        <stp>.SPXW240129P5000</stp>
        <tr r="R160" s="7"/>
      </tp>
      <tp>
        <v>424</v>
        <stp/>
        <stp>OPEN_INT</stp>
        <stp>.SPXW240129P2000</stp>
        <tr r="R14" s="7"/>
      </tp>
      <tp>
        <v>82</v>
        <stp/>
        <stp>OPEN_INT</stp>
        <stp>.SPXW240129P3000</stp>
        <tr r="R19" s="7"/>
      </tp>
      <tp>
        <v>0</v>
        <stp/>
        <stp>OPEN_INT</stp>
        <stp>.SPXW240129P5005</stp>
        <tr r="R161" s="7"/>
      </tp>
      <tp>
        <v>156</v>
        <stp/>
        <stp>OPEN_INT</stp>
        <stp>.SPXW240129C5030</stp>
        <tr r="D166" s="7"/>
      </tp>
      <tp>
        <v>77</v>
        <stp/>
        <stp>OPEN_INT</stp>
        <stp>.SPXW240129C5035</stp>
        <tr r="D167" s="7"/>
      </tp>
      <tp>
        <v>0</v>
        <stp/>
        <stp>OPEN_INT</stp>
        <stp>.SPXW240129P5030</stp>
        <tr r="R166" s="7"/>
      </tp>
      <tp>
        <v>0</v>
        <stp/>
        <stp>OPEN_INT</stp>
        <stp>.SPXW240129P5035</stp>
        <tr r="R167" s="7"/>
      </tp>
      <tp>
        <v>242</v>
        <stp/>
        <stp>OPEN_INT</stp>
        <stp>.SPXW240129C5020</stp>
        <tr r="D164" s="7"/>
      </tp>
      <tp>
        <v>1111</v>
        <stp/>
        <stp>OPEN_INT</stp>
        <stp>.SPXW240129C5025</stp>
        <tr r="D165" s="7"/>
      </tp>
      <tp>
        <v>0</v>
        <stp/>
        <stp>OPEN_INT</stp>
        <stp>.SPXW240129P5020</stp>
        <tr r="R164" s="7"/>
      </tp>
      <tp>
        <v>0</v>
        <stp/>
        <stp>OPEN_INT</stp>
        <stp>.SPXW240129P5025</stp>
        <tr r="R165" s="7"/>
      </tp>
      <tp>
        <v>0</v>
        <stp/>
        <stp>OPEN_INT</stp>
        <stp>.SPXW240129C4050</stp>
        <tr r="D32" s="7"/>
      </tp>
      <tp>
        <v>1059</v>
        <stp/>
        <stp>OPEN_INT</stp>
        <stp>.SPXW240129C5050</stp>
        <tr r="D169" s="7"/>
      </tp>
      <tp>
        <v>1645</v>
        <stp/>
        <stp>OPEN_INT</stp>
        <stp>.SPXW240129P4050</stp>
        <tr r="R32" s="7"/>
      </tp>
      <tp>
        <v>0</v>
        <stp/>
        <stp>OPEN_INT</stp>
        <stp>.SPXW240129P5050</stp>
        <tr r="R169" s="7"/>
      </tp>
      <tp>
        <v>583</v>
        <stp/>
        <stp>OPEN_INT</stp>
        <stp>.SPXW240129C5040</stp>
        <tr r="D168" s="7"/>
      </tp>
      <tp>
        <v>0</v>
        <stp/>
        <stp>OPEN_INT</stp>
        <stp>.SPXW240129P5040</stp>
        <tr r="R168" s="7"/>
      </tp>
      <tp>
        <v>4</v>
        <stp/>
        <stp>OPEN_INT</stp>
        <stp>.SPXW240129C5070</stp>
        <tr r="D171" s="7"/>
      </tp>
      <tp>
        <v>1102</v>
        <stp/>
        <stp>OPEN_INT</stp>
        <stp>.SPXW240129C5075</stp>
        <tr r="D172" s="7"/>
      </tp>
      <tp>
        <v>0</v>
        <stp/>
        <stp>OPEN_INT</stp>
        <stp>.SPXW240129P5070</stp>
        <tr r="R171" s="7"/>
      </tp>
      <tp>
        <v>0</v>
        <stp/>
        <stp>OPEN_INT</stp>
        <stp>.SPXW240129P5075</stp>
        <tr r="R172" s="7"/>
      </tp>
      <tp>
        <v>1352</v>
        <stp/>
        <stp>OPEN_INT</stp>
        <stp>.SPXW240129C5060</stp>
        <tr r="D170" s="7"/>
      </tp>
      <tp>
        <v>0</v>
        <stp/>
        <stp>OPEN_INT</stp>
        <stp>.SPXW240129P5060</stp>
        <tr r="R170" s="7"/>
      </tp>
      <tp>
        <v>0</v>
        <stp/>
        <stp>OPEN_INT</stp>
        <stp>.SPXW240129C4390</stp>
        <tr r="D47" s="7"/>
      </tp>
      <tp>
        <v>125</v>
        <stp/>
        <stp>OPEN_INT</stp>
        <stp>.SPXW240129P4390</stp>
        <tr r="R47" s="7"/>
      </tp>
      <tp>
        <v>0</v>
        <stp/>
        <stp>OPEN_INT</stp>
        <stp>.SPXW240129C4380</stp>
        <tr r="D46" s="7"/>
      </tp>
      <tp>
        <v>2064</v>
        <stp/>
        <stp>OPEN_INT</stp>
        <stp>.SPXW240129P4380</stp>
        <tr r="R46" s="7"/>
      </tp>
      <tp>
        <v>0</v>
        <stp/>
        <stp>OPEN_INT</stp>
        <stp>.SPXW240129C4300</stp>
        <tr r="D41" s="7"/>
      </tp>
      <tp>
        <v>3</v>
        <stp/>
        <stp>OPEN_INT</stp>
        <stp>.SPXW240129C5300</stp>
        <tr r="D181" s="7"/>
      </tp>
      <tp>
        <v>2033</v>
        <stp/>
        <stp>OPEN_INT</stp>
        <stp>.SPXW240129P4300</stp>
        <tr r="R41" s="7"/>
      </tp>
      <tp>
        <v>0</v>
        <stp/>
        <stp>OPEN_INT</stp>
        <stp>.SPXW240129P5300</stp>
        <tr r="R181" s="7"/>
      </tp>
      <tp>
        <v>0</v>
        <stp/>
        <stp>OPEN_INT</stp>
        <stp>.SPXW240129C4325</stp>
        <tr r="D42" s="7"/>
      </tp>
      <tp>
        <v>1460</v>
        <stp/>
        <stp>OPEN_INT</stp>
        <stp>.SPXW240129P4325</stp>
        <tr r="R42" s="7"/>
      </tp>
      <tp>
        <v>0</v>
        <stp/>
        <stp>OPEN_INT</stp>
        <stp>.SPXW240129C4350</stp>
        <tr r="D43" s="7"/>
      </tp>
      <tp>
        <v>4171</v>
        <stp/>
        <stp>OPEN_INT</stp>
        <stp>.SPXW240129P4350</stp>
        <tr r="R43" s="7"/>
      </tp>
      <tp>
        <v>0</v>
        <stp/>
        <stp>OPEN_INT</stp>
        <stp>.SPXW240129C4370</stp>
        <tr r="D44" s="7"/>
      </tp>
      <tp>
        <v>0</v>
        <stp/>
        <stp>OPEN_INT</stp>
        <stp>.SPXW240129C4375</stp>
        <tr r="D45" s="7"/>
      </tp>
      <tp>
        <v>824</v>
        <stp/>
        <stp>OPEN_INT</stp>
        <stp>.SPXW240129P4370</stp>
        <tr r="R44" s="7"/>
      </tp>
      <tp>
        <v>2667</v>
        <stp/>
        <stp>OPEN_INT</stp>
        <stp>.SPXW240129P4375</stp>
        <tr r="R45" s="7"/>
      </tp>
      <tp t="s">
        <v>N/A</v>
        <stp/>
        <stp>BA_SIZE</stp>
        <stp>SPX</stp>
        <tr r="H4" s="7"/>
      </tp>
      <tp>
        <v>9</v>
        <stp/>
        <stp>OPEN_INT</stp>
        <stp>.SPXW240129C6200</stp>
        <tr r="D187" s="7"/>
      </tp>
      <tp>
        <v>0</v>
        <stp/>
        <stp>OPEN_INT</stp>
        <stp>.SPXW240129C4200</stp>
        <tr r="D37" s="7"/>
      </tp>
      <tp>
        <v>794</v>
        <stp/>
        <stp>OPEN_INT</stp>
        <stp>.SPXW240129C5200</stp>
        <tr r="D178" s="7"/>
      </tp>
      <tp>
        <v>0</v>
        <stp/>
        <stp>OPEN_INT</stp>
        <stp>.SPXW240129C2200</stp>
        <tr r="D15" s="7"/>
      </tp>
      <tp>
        <v>0</v>
        <stp/>
        <stp>OPEN_INT</stp>
        <stp>.SPXW240129C3200</stp>
        <tr r="D20" s="7"/>
      </tp>
      <tp>
        <v>0</v>
        <stp/>
        <stp>OPEN_INT</stp>
        <stp>.SPXW240129C1200</stp>
        <tr r="D10" s="7"/>
      </tp>
      <tp>
        <v>0</v>
        <stp/>
        <stp>OPEN_INT</stp>
        <stp>.SPXW240129P6200</stp>
        <tr r="R187" s="7"/>
      </tp>
      <tp>
        <v>2519</v>
        <stp/>
        <stp>OPEN_INT</stp>
        <stp>.SPXW240129P4200</stp>
        <tr r="R37" s="7"/>
      </tp>
      <tp>
        <v>0</v>
        <stp/>
        <stp>OPEN_INT</stp>
        <stp>.SPXW240129P5200</stp>
        <tr r="R178" s="7"/>
      </tp>
      <tp>
        <v>3</v>
        <stp/>
        <stp>OPEN_INT</stp>
        <stp>.SPXW240129P2200</stp>
        <tr r="R15" s="7"/>
      </tp>
      <tp>
        <v>149</v>
        <stp/>
        <stp>OPEN_INT</stp>
        <stp>.SPXW240129P3200</stp>
        <tr r="R20" s="7"/>
      </tp>
      <tp>
        <v>0</v>
        <stp/>
        <stp>OPEN_INT</stp>
        <stp>.SPXW240129P1200</stp>
        <tr r="R10" s="7"/>
      </tp>
      <tp>
        <v>0</v>
        <stp/>
        <stp>OPEN_INT</stp>
        <stp>.SPXW240129C4225</stp>
        <tr r="D38" s="7"/>
      </tp>
      <tp>
        <v>0</v>
        <stp/>
        <stp>OPEN_INT</stp>
        <stp>.SPXW240129C5225</stp>
        <tr r="D179" s="7"/>
      </tp>
      <tp>
        <v>3781</v>
        <stp/>
        <stp>OPEN_INT</stp>
        <stp>.SPXW240129P4225</stp>
        <tr r="R38" s="7"/>
      </tp>
      <tp>
        <v>0</v>
        <stp/>
        <stp>OPEN_INT</stp>
        <stp>.SPXW240129P5225</stp>
        <tr r="R179" s="7"/>
      </tp>
      <tp>
        <v>0</v>
        <stp/>
        <stp>OPEN_INT</stp>
        <stp>.SPXW240129C4250</stp>
        <tr r="D39" s="7"/>
      </tp>
      <tp>
        <v>0</v>
        <stp/>
        <stp>OPEN_INT</stp>
        <stp>.SPXW240129C5250</stp>
        <tr r="D180" s="7"/>
      </tp>
      <tp>
        <v>1929</v>
        <stp/>
        <stp>OPEN_INT</stp>
        <stp>.SPXW240129P4250</stp>
        <tr r="R39" s="7"/>
      </tp>
      <tp>
        <v>0</v>
        <stp/>
        <stp>OPEN_INT</stp>
        <stp>.SPXW240129P5250</stp>
        <tr r="R180" s="7"/>
      </tp>
      <tp>
        <v>0</v>
        <stp/>
        <stp>OPEN_INT</stp>
        <stp>.SPXW240129C4275</stp>
        <tr r="D40" s="7"/>
      </tp>
      <tp>
        <v>2572</v>
        <stp/>
        <stp>OPEN_INT</stp>
        <stp>.SPXW240129P4275</stp>
        <tr r="R40" s="7"/>
      </tp>
      <tp>
        <v>0</v>
        <stp/>
        <stp>OPEN_INT</stp>
        <stp>.SPXW240129C4590</stp>
        <tr r="D78" s="7"/>
      </tp>
      <tp>
        <v>0</v>
        <stp/>
        <stp>OPEN_INT</stp>
        <stp>.SPXW240129C4595</stp>
        <tr r="D79" s="7"/>
      </tp>
      <tp>
        <v>299</v>
        <stp/>
        <stp>OPEN_INT</stp>
        <stp>.SPXW240129P4590</stp>
        <tr r="R78" s="7"/>
      </tp>
      <tp>
        <v>166</v>
        <stp/>
        <stp>OPEN_INT</stp>
        <stp>.SPXW240129P4595</stp>
        <tr r="R79" s="7"/>
      </tp>
      <tp>
        <v>0</v>
        <stp/>
        <stp>OPEN_INT</stp>
        <stp>.SPXW240129C4580</stp>
        <tr r="D76" s="7"/>
      </tp>
      <tp>
        <v>0</v>
        <stp/>
        <stp>OPEN_INT</stp>
        <stp>.SPXW240129C4585</stp>
        <tr r="D77" s="7"/>
      </tp>
      <tp>
        <v>394</v>
        <stp/>
        <stp>OPEN_INT</stp>
        <stp>.SPXW240129P4580</stp>
        <tr r="R76" s="7"/>
      </tp>
      <tp>
        <v>481</v>
        <stp/>
        <stp>OPEN_INT</stp>
        <stp>.SPXW240129P4585</stp>
        <tr r="R77" s="7"/>
      </tp>
      <tp>
        <v>0</v>
        <stp/>
        <stp>OPEN_INT</stp>
        <stp>.SPXW240129C4510</stp>
        <tr r="D62" s="7"/>
      </tp>
      <tp>
        <v>0</v>
        <stp/>
        <stp>OPEN_INT</stp>
        <stp>.SPXW240129C4515</stp>
        <tr r="D63" s="7"/>
      </tp>
      <tp>
        <v>301</v>
        <stp/>
        <stp>OPEN_INT</stp>
        <stp>.SPXW240129P4510</stp>
        <tr r="R62" s="7"/>
      </tp>
      <tp>
        <v>86</v>
        <stp/>
        <stp>OPEN_INT</stp>
        <stp>.SPXW240129P4515</stp>
        <tr r="R63" s="7"/>
      </tp>
      <tp>
        <v>0</v>
        <stp/>
        <stp>OPEN_INT</stp>
        <stp>.SPXW240129C4500</stp>
        <tr r="D60" s="7"/>
      </tp>
      <tp>
        <v>0</v>
        <stp/>
        <stp>OPEN_INT</stp>
        <stp>.SPXW240129C5500</stp>
        <tr r="D183" s="7"/>
      </tp>
      <tp>
        <v>0</v>
        <stp/>
        <stp>OPEN_INT</stp>
        <stp>.SPXW240129C3500</stp>
        <tr r="D22" s="7"/>
      </tp>
      <tp>
        <v>0</v>
        <stp/>
        <stp>OPEN_INT</stp>
        <stp>.SPXW240129C4505</stp>
        <tr r="D61" s="7"/>
      </tp>
      <tp>
        <v>2177</v>
        <stp/>
        <stp>OPEN_INT</stp>
        <stp>.SPXW240129P4500</stp>
        <tr r="R60" s="7"/>
      </tp>
      <tp>
        <v>0</v>
        <stp/>
        <stp>OPEN_INT</stp>
        <stp>.SPXW240129P5500</stp>
        <tr r="R183" s="7"/>
      </tp>
      <tp>
        <v>861</v>
        <stp/>
        <stp>OPEN_INT</stp>
        <stp>.SPXW240129P3500</stp>
        <tr r="R22" s="7"/>
      </tp>
      <tp>
        <v>177</v>
        <stp/>
        <stp>OPEN_INT</stp>
        <stp>.SPXW240129P4505</stp>
        <tr r="R61" s="7"/>
      </tp>
      <tp>
        <v>0</v>
        <stp/>
        <stp>OPEN_INT</stp>
        <stp>.SPXW240129C4530</stp>
        <tr r="D66" s="7"/>
      </tp>
      <tp>
        <v>0</v>
        <stp/>
        <stp>OPEN_INT</stp>
        <stp>.SPXW240129C4535</stp>
        <tr r="D67" s="7"/>
      </tp>
      <tp>
        <v>203</v>
        <stp/>
        <stp>OPEN_INT</stp>
        <stp>.SPXW240129P4530</stp>
        <tr r="R66" s="7"/>
      </tp>
      <tp>
        <v>522</v>
        <stp/>
        <stp>OPEN_INT</stp>
        <stp>.SPXW240129P4535</stp>
        <tr r="R67" s="7"/>
      </tp>
      <tp>
        <v>0</v>
        <stp/>
        <stp>OPEN_INT</stp>
        <stp>.SPXW240129C4520</stp>
        <tr r="D64" s="7"/>
      </tp>
      <tp>
        <v>0</v>
        <stp/>
        <stp>OPEN_INT</stp>
        <stp>.SPXW240129C4525</stp>
        <tr r="D65" s="7"/>
      </tp>
      <tp>
        <v>184</v>
        <stp/>
        <stp>OPEN_INT</stp>
        <stp>.SPXW240129P4520</stp>
        <tr r="R64" s="7"/>
      </tp>
      <tp>
        <v>459</v>
        <stp/>
        <stp>OPEN_INT</stp>
        <stp>.SPXW240129P4525</stp>
        <tr r="R65" s="7"/>
      </tp>
      <tp>
        <v>0</v>
        <stp/>
        <stp>OPEN_INT</stp>
        <stp>.SPXW240129C4550</stp>
        <tr r="D70" s="7"/>
      </tp>
      <tp>
        <v>0</v>
        <stp/>
        <stp>OPEN_INT</stp>
        <stp>.SPXW240129C4555</stp>
        <tr r="D71" s="7"/>
      </tp>
      <tp>
        <v>1083</v>
        <stp/>
        <stp>OPEN_INT</stp>
        <stp>.SPXW240129P4550</stp>
        <tr r="R70" s="7"/>
      </tp>
      <tp>
        <v>178</v>
        <stp/>
        <stp>OPEN_INT</stp>
        <stp>.SPXW240129P4555</stp>
        <tr r="R71" s="7"/>
      </tp>
      <tp>
        <v>0</v>
        <stp/>
        <stp>OPEN_INT</stp>
        <stp>.SPXW240129C4540</stp>
        <tr r="D68" s="7"/>
      </tp>
      <tp>
        <v>0</v>
        <stp/>
        <stp>OPEN_INT</stp>
        <stp>.SPXW240129C4545</stp>
        <tr r="D69" s="7"/>
      </tp>
      <tp>
        <v>2219</v>
        <stp/>
        <stp>OPEN_INT</stp>
        <stp>.SPXW240129P4540</stp>
        <tr r="R68" s="7"/>
      </tp>
      <tp>
        <v>57</v>
        <stp/>
        <stp>OPEN_INT</stp>
        <stp>.SPXW240129P4545</stp>
        <tr r="R69" s="7"/>
      </tp>
      <tp>
        <v>0</v>
        <stp/>
        <stp>OPEN_INT</stp>
        <stp>.SPXW240129C4570</stp>
        <tr r="D74" s="7"/>
      </tp>
      <tp>
        <v>0</v>
        <stp/>
        <stp>OPEN_INT</stp>
        <stp>.SPXW240129C4575</stp>
        <tr r="D75" s="7"/>
      </tp>
      <tp>
        <v>275</v>
        <stp/>
        <stp>OPEN_INT</stp>
        <stp>.SPXW240129P4570</stp>
        <tr r="R74" s="7"/>
      </tp>
      <tp>
        <v>218</v>
        <stp/>
        <stp>OPEN_INT</stp>
        <stp>.SPXW240129P4575</stp>
        <tr r="R75" s="7"/>
      </tp>
      <tp>
        <v>0</v>
        <stp/>
        <stp>OPEN_INT</stp>
        <stp>.SPXW240129C4560</stp>
        <tr r="D72" s="7"/>
      </tp>
      <tp>
        <v>0</v>
        <stp/>
        <stp>OPEN_INT</stp>
        <stp>.SPXW240129C4565</stp>
        <tr r="D73" s="7"/>
      </tp>
      <tp>
        <v>111</v>
        <stp/>
        <stp>OPEN_INT</stp>
        <stp>.SPXW240129P4560</stp>
        <tr r="R72" s="7"/>
      </tp>
      <tp>
        <v>226</v>
        <stp/>
        <stp>OPEN_INT</stp>
        <stp>.SPXW240129P4565</stp>
        <tr r="R73" s="7"/>
      </tp>
      <tp>
        <v>0</v>
        <stp/>
        <stp>OPEN_INT</stp>
        <stp>.SPXW240129C4490</stp>
        <tr r="D59" s="7"/>
      </tp>
      <tp>
        <v>605</v>
        <stp/>
        <stp>OPEN_INT</stp>
        <stp>.SPXW240129P4490</stp>
        <tr r="R59" s="7"/>
      </tp>
      <tp>
        <v>0</v>
        <stp/>
        <stp>OPEN_INT</stp>
        <stp>.SPXW240129C4480</stp>
        <tr r="D58" s="7"/>
      </tp>
      <tp>
        <v>183</v>
        <stp/>
        <stp>OPEN_INT</stp>
        <stp>.SPXW240129P4480</stp>
        <tr r="R58" s="7"/>
      </tp>
      <tp>
        <v>0</v>
        <stp/>
        <stp>OPEN_INT</stp>
        <stp>.SPXW240129C4410</stp>
        <tr r="D49" s="7"/>
      </tp>
      <tp>
        <v>163</v>
        <stp/>
        <stp>OPEN_INT</stp>
        <stp>.SPXW240129P4410</stp>
        <tr r="R49" s="7"/>
      </tp>
      <tp>
        <v>0</v>
        <stp/>
        <stp>OPEN_INT</stp>
        <stp>.SPXW240129C4400</stp>
        <tr r="D48" s="7"/>
      </tp>
      <tp>
        <v>112</v>
        <stp/>
        <stp>OPEN_INT</stp>
        <stp>.SPXW240129C5400</stp>
        <tr r="D182" s="7"/>
      </tp>
      <tp>
        <v>0</v>
        <stp/>
        <stp>OPEN_INT</stp>
        <stp>.SPXW240129C2400</stp>
        <tr r="D16" s="7"/>
      </tp>
      <tp>
        <v>0</v>
        <stp/>
        <stp>OPEN_INT</stp>
        <stp>.SPXW240129C3400</stp>
        <tr r="D21" s="7"/>
      </tp>
      <tp>
        <v>0</v>
        <stp/>
        <stp>OPEN_INT</stp>
        <stp>.SPXW240129C1400</stp>
        <tr r="D11" s="7"/>
      </tp>
      <tp>
        <v>2065</v>
        <stp/>
        <stp>OPEN_INT</stp>
        <stp>.SPXW240129P4400</stp>
        <tr r="R48" s="7"/>
      </tp>
      <tp>
        <v>0</v>
        <stp/>
        <stp>OPEN_INT</stp>
        <stp>.SPXW240129P5400</stp>
        <tr r="R182" s="7"/>
      </tp>
      <tp>
        <v>10</v>
        <stp/>
        <stp>OPEN_INT</stp>
        <stp>.SPXW240129P2400</stp>
        <tr r="R16" s="7"/>
      </tp>
      <tp>
        <v>49</v>
        <stp/>
        <stp>OPEN_INT</stp>
        <stp>.SPXW240129P3400</stp>
        <tr r="R21" s="7"/>
      </tp>
      <tp>
        <v>0</v>
        <stp/>
        <stp>OPEN_INT</stp>
        <stp>.SPXW240129P1400</stp>
        <tr r="R11" s="7"/>
      </tp>
      <tp>
        <v>0</v>
        <stp/>
        <stp>OPEN_INT</stp>
        <stp>.SPXW240129C4430</stp>
        <tr r="D52" s="7"/>
      </tp>
      <tp>
        <v>123</v>
        <stp/>
        <stp>OPEN_INT</stp>
        <stp>.SPXW240129P4430</stp>
        <tr r="R52" s="7"/>
      </tp>
      <tp>
        <v>0</v>
        <stp/>
        <stp>OPEN_INT</stp>
        <stp>.SPXW240129C4420</stp>
        <tr r="D50" s="7"/>
      </tp>
      <tp>
        <v>0</v>
        <stp/>
        <stp>OPEN_INT</stp>
        <stp>.SPXW240129C4425</stp>
        <tr r="D51" s="7"/>
      </tp>
      <tp>
        <v>152</v>
        <stp/>
        <stp>OPEN_INT</stp>
        <stp>.SPXW240129P4420</stp>
        <tr r="R50" s="7"/>
      </tp>
      <tp>
        <v>849</v>
        <stp/>
        <stp>OPEN_INT</stp>
        <stp>.SPXW240129P4425</stp>
        <tr r="R51" s="7"/>
      </tp>
      <tp>
        <v>0</v>
        <stp/>
        <stp>OPEN_INT</stp>
        <stp>.SPXW240129C4450</stp>
        <tr r="D54" s="7"/>
      </tp>
      <tp>
        <v>757</v>
        <stp/>
        <stp>OPEN_INT</stp>
        <stp>.SPXW240129P4450</stp>
        <tr r="R54" s="7"/>
      </tp>
      <tp>
        <v>0</v>
        <stp/>
        <stp>OPEN_INT</stp>
        <stp>.SPXW240129C4440</stp>
        <tr r="D53" s="7"/>
      </tp>
      <tp>
        <v>359</v>
        <stp/>
        <stp>OPEN_INT</stp>
        <stp>.SPXW240129P4440</stp>
        <tr r="R53" s="7"/>
      </tp>
      <tp>
        <v>0</v>
        <stp/>
        <stp>OPEN_INT</stp>
        <stp>.SPXW240129C4470</stp>
        <tr r="D56" s="7"/>
      </tp>
      <tp>
        <v>0</v>
        <stp/>
        <stp>OPEN_INT</stp>
        <stp>.SPXW240129C4475</stp>
        <tr r="D57" s="7"/>
      </tp>
      <tp>
        <v>577</v>
        <stp/>
        <stp>OPEN_INT</stp>
        <stp>.SPXW240129P4470</stp>
        <tr r="R56" s="7"/>
      </tp>
      <tp>
        <v>134</v>
        <stp/>
        <stp>OPEN_INT</stp>
        <stp>.SPXW240129P4475</stp>
        <tr r="R57" s="7"/>
      </tp>
      <tp>
        <v>0</v>
        <stp/>
        <stp>OPEN_INT</stp>
        <stp>.SPXW240129C4460</stp>
        <tr r="D55" s="7"/>
      </tp>
      <tp>
        <v>754</v>
        <stp/>
        <stp>OPEN_INT</stp>
        <stp>.SPXW240129P4460</stp>
        <tr r="R55" s="7"/>
      </tp>
      <tp>
        <v>0</v>
        <stp/>
        <stp>OPEN_INT</stp>
        <stp>.SPXW240129C4790</stp>
        <tr r="D118" s="7"/>
      </tp>
      <tp>
        <v>0</v>
        <stp/>
        <stp>OPEN_INT</stp>
        <stp>.SPXW240129C4795</stp>
        <tr r="D119" s="7"/>
      </tp>
      <tp>
        <v>2512</v>
        <stp/>
        <stp>OPEN_INT</stp>
        <stp>.SPXW240129P4790</stp>
        <tr r="R118" s="7"/>
      </tp>
      <tp>
        <v>2209</v>
        <stp/>
        <stp>OPEN_INT</stp>
        <stp>.SPXW240129P4795</stp>
        <tr r="R119" s="7"/>
      </tp>
      <tp>
        <v>0</v>
        <stp/>
        <stp>OPEN_INT</stp>
        <stp>.SPXW240129C4780</stp>
        <tr r="D116" s="7"/>
      </tp>
      <tp>
        <v>0</v>
        <stp/>
        <stp>OPEN_INT</stp>
        <stp>.SPXW240129C4785</stp>
        <tr r="D117" s="7"/>
      </tp>
      <tp>
        <v>6159</v>
        <stp/>
        <stp>OPEN_INT</stp>
        <stp>.SPXW240129P4780</stp>
        <tr r="R116" s="7"/>
      </tp>
      <tp>
        <v>2749</v>
        <stp/>
        <stp>OPEN_INT</stp>
        <stp>.SPXW240129P4785</stp>
        <tr r="R117" s="7"/>
      </tp>
      <tp>
        <v>0</v>
        <stp/>
        <stp>OPEN_INT</stp>
        <stp>.SPXW240129C4710</stp>
        <tr r="D102" s="7"/>
      </tp>
      <tp>
        <v>0</v>
        <stp/>
        <stp>OPEN_INT</stp>
        <stp>.SPXW240129C4715</stp>
        <tr r="D103" s="7"/>
      </tp>
      <tp>
        <v>509</v>
        <stp/>
        <stp>OPEN_INT</stp>
        <stp>.SPXW240129P4710</stp>
        <tr r="R102" s="7"/>
      </tp>
      <tp>
        <v>256</v>
        <stp/>
        <stp>OPEN_INT</stp>
        <stp>.SPXW240129P4715</stp>
        <tr r="R103" s="7"/>
      </tp>
      <tp>
        <v>0</v>
        <stp/>
        <stp>OPEN_INT</stp>
        <stp>.SPXW240129C4700</stp>
        <tr r="D100" s="7"/>
      </tp>
      <tp>
        <v>0</v>
        <stp/>
        <stp>OPEN_INT</stp>
        <stp>.SPXW240129C3700</stp>
        <tr r="D25" s="7"/>
      </tp>
      <tp>
        <v>0</v>
        <stp/>
        <stp>OPEN_INT</stp>
        <stp>.SPXW240129C4705</stp>
        <tr r="D101" s="7"/>
      </tp>
      <tp>
        <v>3772</v>
        <stp/>
        <stp>OPEN_INT</stp>
        <stp>.SPXW240129P4700</stp>
        <tr r="R100" s="7"/>
      </tp>
      <tp>
        <v>2653</v>
        <stp/>
        <stp>OPEN_INT</stp>
        <stp>.SPXW240129P3700</stp>
        <tr r="R25" s="7"/>
      </tp>
      <tp>
        <v>305</v>
        <stp/>
        <stp>OPEN_INT</stp>
        <stp>.SPXW240129P4705</stp>
        <tr r="R101" s="7"/>
      </tp>
      <tp>
        <v>0</v>
        <stp/>
        <stp>OPEN_INT</stp>
        <stp>.SPXW240129C4730</stp>
        <tr r="D106" s="7"/>
      </tp>
      <tp>
        <v>0</v>
        <stp/>
        <stp>OPEN_INT</stp>
        <stp>.SPXW240129C4735</stp>
        <tr r="D107" s="7"/>
      </tp>
      <tp>
        <v>607</v>
        <stp/>
        <stp>OPEN_INT</stp>
        <stp>.SPXW240129P4730</stp>
        <tr r="R106" s="7"/>
      </tp>
      <tp>
        <v>385</v>
        <stp/>
        <stp>OPEN_INT</stp>
        <stp>.SPXW240129P4735</stp>
        <tr r="R107" s="7"/>
      </tp>
      <tp>
        <v>0</v>
        <stp/>
        <stp>OPEN_INT</stp>
        <stp>.SPXW240129C4720</stp>
        <tr r="D104" s="7"/>
      </tp>
      <tp>
        <v>0</v>
        <stp/>
        <stp>OPEN_INT</stp>
        <stp>.SPXW240129C4725</stp>
        <tr r="D105" s="7"/>
      </tp>
      <tp>
        <v>2346</v>
        <stp/>
        <stp>OPEN_INT</stp>
        <stp>.SPXW240129P4720</stp>
        <tr r="R104" s="7"/>
      </tp>
      <tp>
        <v>1653</v>
        <stp/>
        <stp>OPEN_INT</stp>
        <stp>.SPXW240129P4725</stp>
        <tr r="R105" s="7"/>
      </tp>
      <tp>
        <v>0</v>
        <stp/>
        <stp>OPEN_INT</stp>
        <stp>.SPXW240129C4750</stp>
        <tr r="D110" s="7"/>
      </tp>
      <tp>
        <v>0</v>
        <stp/>
        <stp>OPEN_INT</stp>
        <stp>.SPXW240129C3750</stp>
        <tr r="D26" s="7"/>
      </tp>
      <tp>
        <v>0</v>
        <stp/>
        <stp>OPEN_INT</stp>
        <stp>.SPXW240129C4755</stp>
        <tr r="D111" s="7"/>
      </tp>
      <tp>
        <v>7599</v>
        <stp/>
        <stp>OPEN_INT</stp>
        <stp>.SPXW240129P4750</stp>
        <tr r="R110" s="7"/>
      </tp>
      <tp>
        <v>979</v>
        <stp/>
        <stp>OPEN_INT</stp>
        <stp>.SPXW240129P3750</stp>
        <tr r="R26" s="7"/>
      </tp>
      <tp>
        <v>489</v>
        <stp/>
        <stp>OPEN_INT</stp>
        <stp>.SPXW240129P4755</stp>
        <tr r="R111" s="7"/>
      </tp>
      <tp>
        <v>0</v>
        <stp/>
        <stp>OPEN_INT</stp>
        <stp>.SPXW240129C4740</stp>
        <tr r="D108" s="7"/>
      </tp>
      <tp>
        <v>0</v>
        <stp/>
        <stp>OPEN_INT</stp>
        <stp>.SPXW240129C4745</stp>
        <tr r="D109" s="7"/>
      </tp>
      <tp>
        <v>711</v>
        <stp/>
        <stp>OPEN_INT</stp>
        <stp>.SPXW240129P4740</stp>
        <tr r="R108" s="7"/>
      </tp>
      <tp>
        <v>668</v>
        <stp/>
        <stp>OPEN_INT</stp>
        <stp>.SPXW240129P4745</stp>
        <tr r="R109" s="7"/>
      </tp>
      <tp>
        <v>0</v>
        <stp/>
        <stp>OPEN_INT</stp>
        <stp>.SPXW240129C4770</stp>
        <tr r="D114" s="7"/>
      </tp>
      <tp>
        <v>0</v>
        <stp/>
        <stp>OPEN_INT</stp>
        <stp>.SPXW240129C4775</stp>
        <tr r="D115" s="7"/>
      </tp>
      <tp>
        <v>1277</v>
        <stp/>
        <stp>OPEN_INT</stp>
        <stp>.SPXW240129P4770</stp>
        <tr r="R114" s="7"/>
      </tp>
      <tp>
        <v>6639</v>
        <stp/>
        <stp>OPEN_INT</stp>
        <stp>.SPXW240129P4775</stp>
        <tr r="R115" s="7"/>
      </tp>
      <tp>
        <v>0</v>
        <stp/>
        <stp>OPEN_INT</stp>
        <stp>.SPXW240129C4760</stp>
        <tr r="D112" s="7"/>
      </tp>
      <tp>
        <v>0</v>
        <stp/>
        <stp>OPEN_INT</stp>
        <stp>.SPXW240129C4765</stp>
        <tr r="D113" s="7"/>
      </tp>
      <tp>
        <v>3274</v>
        <stp/>
        <stp>OPEN_INT</stp>
        <stp>.SPXW240129P4760</stp>
        <tr r="R112" s="7"/>
      </tp>
      <tp>
        <v>1514</v>
        <stp/>
        <stp>OPEN_INT</stp>
        <stp>.SPXW240129P4765</stp>
        <tr r="R113" s="7"/>
      </tp>
      <tp>
        <v>0</v>
        <stp/>
        <stp>OPEN_INT</stp>
        <stp>.SPXW240129C4690</stp>
        <tr r="D98" s="7"/>
      </tp>
      <tp>
        <v>0</v>
        <stp/>
        <stp>OPEN_INT</stp>
        <stp>.SPXW240129C4695</stp>
        <tr r="D99" s="7"/>
      </tp>
      <tp>
        <v>450</v>
        <stp/>
        <stp>OPEN_INT</stp>
        <stp>.SPXW240129P4690</stp>
        <tr r="R98" s="7"/>
      </tp>
      <tp>
        <v>3517</v>
        <stp/>
        <stp>OPEN_INT</stp>
        <stp>.SPXW240129P4695</stp>
        <tr r="R99" s="7"/>
      </tp>
      <tp>
        <v>0</v>
        <stp/>
        <stp>OPEN_INT</stp>
        <stp>.SPXW240129C4680</stp>
        <tr r="D96" s="7"/>
      </tp>
      <tp>
        <v>0</v>
        <stp/>
        <stp>OPEN_INT</stp>
        <stp>.SPXW240129C4685</stp>
        <tr r="D97" s="7"/>
      </tp>
      <tp>
        <v>1004</v>
        <stp/>
        <stp>OPEN_INT</stp>
        <stp>.SPXW240129P4680</stp>
        <tr r="R96" s="7"/>
      </tp>
      <tp>
        <v>866</v>
        <stp/>
        <stp>OPEN_INT</stp>
        <stp>.SPXW240129P4685</stp>
        <tr r="R97" s="7"/>
      </tp>
      <tp>
        <v>0</v>
        <stp/>
        <stp>OPEN_INT</stp>
        <stp>.SPXW240129C4610</stp>
        <tr r="D82" s="7"/>
      </tp>
      <tp>
        <v>0</v>
        <stp/>
        <stp>OPEN_INT</stp>
        <stp>.SPXW240129C4615</stp>
        <tr r="D83" s="7"/>
      </tp>
      <tp>
        <v>379</v>
        <stp/>
        <stp>OPEN_INT</stp>
        <stp>.SPXW240129P4610</stp>
        <tr r="R82" s="7"/>
      </tp>
      <tp>
        <v>262</v>
        <stp/>
        <stp>OPEN_INT</stp>
        <stp>.SPXW240129P4615</stp>
        <tr r="R83" s="7"/>
      </tp>
      <tp>
        <v>0</v>
        <stp/>
        <stp>OPEN_INT</stp>
        <stp>.SPXW240129C4600</stp>
        <tr r="D80" s="7"/>
      </tp>
      <tp>
        <v>10</v>
        <stp/>
        <stp>OPEN_INT</stp>
        <stp>.SPXW240129C5600</stp>
        <tr r="D184" s="7"/>
      </tp>
      <tp>
        <v>0</v>
        <stp/>
        <stp>OPEN_INT</stp>
        <stp>.SPXW240129C2600</stp>
        <tr r="D17" s="7"/>
      </tp>
      <tp>
        <v>0</v>
        <stp/>
        <stp>OPEN_INT</stp>
        <stp>.SPXW240129C3600</stp>
        <tr r="D23" s="7"/>
      </tp>
      <tp>
        <v>0</v>
        <stp/>
        <stp>OPEN_INT</stp>
        <stp>.SPXW240129C1600</stp>
        <tr r="D12" s="7"/>
      </tp>
      <tp>
        <v>0</v>
        <stp/>
        <stp>OPEN_INT</stp>
        <stp>.SPXW240129C4605</stp>
        <tr r="D81" s="7"/>
      </tp>
      <tp>
        <v>2281</v>
        <stp/>
        <stp>OPEN_INT</stp>
        <stp>.SPXW240129P4600</stp>
        <tr r="R80" s="7"/>
      </tp>
      <tp>
        <v>0</v>
        <stp/>
        <stp>OPEN_INT</stp>
        <stp>.SPXW240129P5600</stp>
        <tr r="R184" s="7"/>
      </tp>
      <tp>
        <v>269</v>
        <stp/>
        <stp>OPEN_INT</stp>
        <stp>.SPXW240129P2600</stp>
        <tr r="R17" s="7"/>
      </tp>
      <tp>
        <v>3630</v>
        <stp/>
        <stp>OPEN_INT</stp>
        <stp>.SPXW240129P3600</stp>
        <tr r="R23" s="7"/>
      </tp>
      <tp>
        <v>0</v>
        <stp/>
        <stp>OPEN_INT</stp>
        <stp>.SPXW240129P1600</stp>
        <tr r="R12" s="7"/>
      </tp>
      <tp>
        <v>323</v>
        <stp/>
        <stp>OPEN_INT</stp>
        <stp>.SPXW240129P4605</stp>
        <tr r="R81" s="7"/>
      </tp>
      <tp>
        <v>0</v>
        <stp/>
        <stp>OPEN_INT</stp>
        <stp>.SPXW240129C4630</stp>
        <tr r="D86" s="7"/>
      </tp>
      <tp>
        <v>0</v>
        <stp/>
        <stp>OPEN_INT</stp>
        <stp>.SPXW240129C4635</stp>
        <tr r="D87" s="7"/>
      </tp>
      <tp>
        <v>1481</v>
        <stp/>
        <stp>OPEN_INT</stp>
        <stp>.SPXW240129P4630</stp>
        <tr r="R86" s="7"/>
      </tp>
      <tp>
        <v>1392</v>
        <stp/>
        <stp>OPEN_INT</stp>
        <stp>.SPXW240129P4635</stp>
        <tr r="R87" s="7"/>
      </tp>
      <tp>
        <v>0</v>
        <stp/>
        <stp>OPEN_INT</stp>
        <stp>.SPXW240129C4620</stp>
        <tr r="D84" s="7"/>
      </tp>
      <tp>
        <v>0</v>
        <stp/>
        <stp>OPEN_INT</stp>
        <stp>.SPXW240129C4625</stp>
        <tr r="D85" s="7"/>
      </tp>
      <tp>
        <v>251</v>
        <stp/>
        <stp>OPEN_INT</stp>
        <stp>.SPXW240129P4620</stp>
        <tr r="R84" s="7"/>
      </tp>
      <tp>
        <v>2056</v>
        <stp/>
        <stp>OPEN_INT</stp>
        <stp>.SPXW240129P4625</stp>
        <tr r="R85" s="7"/>
      </tp>
      <tp>
        <v>0</v>
        <stp/>
        <stp>OPEN_INT</stp>
        <stp>.SPXW240129C4650</stp>
        <tr r="D90" s="7"/>
      </tp>
      <tp>
        <v>0</v>
        <stp/>
        <stp>OPEN_INT</stp>
        <stp>.SPXW240129C3650</stp>
        <tr r="D24" s="7"/>
      </tp>
      <tp>
        <v>0</v>
        <stp/>
        <stp>OPEN_INT</stp>
        <stp>.SPXW240129C4655</stp>
        <tr r="D91" s="7"/>
      </tp>
      <tp>
        <v>1239</v>
        <stp/>
        <stp>OPEN_INT</stp>
        <stp>.SPXW240129P4650</stp>
        <tr r="R90" s="7"/>
      </tp>
      <tp>
        <v>2185</v>
        <stp/>
        <stp>OPEN_INT</stp>
        <stp>.SPXW240129P3650</stp>
        <tr r="R24" s="7"/>
      </tp>
      <tp>
        <v>588</v>
        <stp/>
        <stp>OPEN_INT</stp>
        <stp>.SPXW240129P4655</stp>
        <tr r="R91" s="7"/>
      </tp>
      <tp>
        <v>0</v>
        <stp/>
        <stp>OPEN_INT</stp>
        <stp>.SPXW240129C4640</stp>
        <tr r="D88" s="7"/>
      </tp>
      <tp>
        <v>0</v>
        <stp/>
        <stp>OPEN_INT</stp>
        <stp>.SPXW240129C4645</stp>
        <tr r="D89" s="7"/>
      </tp>
      <tp>
        <v>430</v>
        <stp/>
        <stp>OPEN_INT</stp>
        <stp>.SPXW240129P4640</stp>
        <tr r="R88" s="7"/>
      </tp>
      <tp>
        <v>716</v>
        <stp/>
        <stp>OPEN_INT</stp>
        <stp>.SPXW240129P4645</stp>
        <tr r="R89" s="7"/>
      </tp>
      <tp>
        <v>0</v>
        <stp/>
        <stp>OPEN_INT</stp>
        <stp>.SPXW240129C4670</stp>
        <tr r="D94" s="7"/>
      </tp>
      <tp>
        <v>0</v>
        <stp/>
        <stp>OPEN_INT</stp>
        <stp>.SPXW240129C4675</stp>
        <tr r="D95" s="7"/>
      </tp>
      <tp>
        <v>529</v>
        <stp/>
        <stp>OPEN_INT</stp>
        <stp>.SPXW240129P4670</stp>
        <tr r="R94" s="7"/>
      </tp>
      <tp>
        <v>4743</v>
        <stp/>
        <stp>OPEN_INT</stp>
        <stp>.SPXW240129P4675</stp>
        <tr r="R95" s="7"/>
      </tp>
      <tp>
        <v>0</v>
        <stp/>
        <stp>OPEN_INT</stp>
        <stp>.SPXW240129C4660</stp>
        <tr r="D92" s="7"/>
      </tp>
      <tp>
        <v>0</v>
        <stp/>
        <stp>OPEN_INT</stp>
        <stp>.SPXW240129C4665</stp>
        <tr r="D93" s="7"/>
      </tp>
      <tp>
        <v>3460</v>
        <stp/>
        <stp>OPEN_INT</stp>
        <stp>.SPXW240129P4660</stp>
        <tr r="R92" s="7"/>
      </tp>
      <tp>
        <v>630</v>
        <stp/>
        <stp>OPEN_INT</stp>
        <stp>.SPXW240129P4665</stp>
        <tr r="R93" s="7"/>
      </tp>
      <tp>
        <v>1032</v>
        <stp/>
        <stp>OPEN_INT</stp>
        <stp>.SPXW240129C4990</stp>
        <tr r="D158" s="7"/>
      </tp>
      <tp>
        <v>390</v>
        <stp/>
        <stp>OPEN_INT</stp>
        <stp>.SPXW240129C4995</stp>
        <tr r="D159" s="7"/>
      </tp>
      <tp>
        <v>0</v>
        <stp/>
        <stp>OPEN_INT</stp>
        <stp>.SPXW240129P4990</stp>
        <tr r="R158" s="7"/>
      </tp>
      <tp>
        <v>0</v>
        <stp/>
        <stp>OPEN_INT</stp>
        <stp>.SPXW240129P4995</stp>
        <tr r="R159" s="7"/>
      </tp>
      <tp>
        <v>2624</v>
        <stp/>
        <stp>OPEN_INT</stp>
        <stp>.SPXW240129C4980</stp>
        <tr r="D156" s="7"/>
      </tp>
      <tp>
        <v>533</v>
        <stp/>
        <stp>OPEN_INT</stp>
        <stp>.SPXW240129C4985</stp>
        <tr r="D157" s="7"/>
      </tp>
      <tp>
        <v>0</v>
        <stp/>
        <stp>OPEN_INT</stp>
        <stp>.SPXW240129P4980</stp>
        <tr r="R156" s="7"/>
      </tp>
      <tp>
        <v>0</v>
        <stp/>
        <stp>OPEN_INT</stp>
        <stp>.SPXW240129P4985</stp>
        <tr r="R157" s="7"/>
      </tp>
      <tp>
        <v>0</v>
        <stp/>
        <stp>OPEN_INT</stp>
        <stp>.SPXW240129C4910</stp>
        <tr r="D142" s="7"/>
      </tp>
      <tp>
        <v>0</v>
        <stp/>
        <stp>OPEN_INT</stp>
        <stp>.SPXW240129C4915</stp>
        <tr r="D143" s="7"/>
      </tp>
      <tp>
        <v>5972</v>
        <stp/>
        <stp>OPEN_INT</stp>
        <stp>.SPXW240129P4910</stp>
        <tr r="R142" s="7"/>
      </tp>
      <tp>
        <v>4536</v>
        <stp/>
        <stp>OPEN_INT</stp>
        <stp>.SPXW240129P4915</stp>
        <tr r="R143" s="7"/>
      </tp>
      <tp>
        <v>0</v>
        <stp/>
        <stp>OPEN_INT</stp>
        <stp>.SPXW240129C4900</stp>
        <tr r="D140" s="7"/>
      </tp>
      <tp>
        <v>0</v>
        <stp/>
        <stp>OPEN_INT</stp>
        <stp>.SPXW240129C3900</stp>
        <tr r="D29" s="7"/>
      </tp>
      <tp>
        <v>0</v>
        <stp/>
        <stp>OPEN_INT</stp>
        <stp>.SPXW240129C4905</stp>
        <tr r="D141" s="7"/>
      </tp>
      <tp>
        <v>13068</v>
        <stp/>
        <stp>OPEN_INT</stp>
        <stp>.SPXW240129P4900</stp>
        <tr r="R140" s="7"/>
      </tp>
      <tp>
        <v>18480</v>
        <stp/>
        <stp>OPEN_INT</stp>
        <stp>.SPXW240129P3900</stp>
        <tr r="R29" s="7"/>
      </tp>
      <tp>
        <v>5274</v>
        <stp/>
        <stp>OPEN_INT</stp>
        <stp>.SPXW240129P4905</stp>
        <tr r="R141" s="7"/>
      </tp>
      <tp>
        <v>7745</v>
        <stp/>
        <stp>OPEN_INT</stp>
        <stp>.SPXW240129C4930</stp>
        <tr r="D146" s="7"/>
      </tp>
      <tp>
        <v>9440</v>
        <stp/>
        <stp>OPEN_INT</stp>
        <stp>.SPXW240129C4935</stp>
        <tr r="D147" s="7"/>
      </tp>
      <tp>
        <v>0</v>
        <stp/>
        <stp>OPEN_INT</stp>
        <stp>.SPXW240129P4930</stp>
        <tr r="R146" s="7"/>
      </tp>
      <tp>
        <v>0</v>
        <stp/>
        <stp>OPEN_INT</stp>
        <stp>.SPXW240129P4935</stp>
        <tr r="R147" s="7"/>
      </tp>
      <tp>
        <v>0</v>
        <stp/>
        <stp>OPEN_INT</stp>
        <stp>.SPXW240129C4920</stp>
        <tr r="D144" s="7"/>
      </tp>
      <tp>
        <v>0</v>
        <stp/>
        <stp>OPEN_INT</stp>
        <stp>.SPXW240129C4925</stp>
        <tr r="D145" s="7"/>
      </tp>
      <tp>
        <v>6598</v>
        <stp/>
        <stp>OPEN_INT</stp>
        <stp>.SPXW240129P4920</stp>
        <tr r="R144" s="7"/>
      </tp>
      <tp>
        <v>5041</v>
        <stp/>
        <stp>OPEN_INT</stp>
        <stp>.SPXW240129P4925</stp>
        <tr r="R145" s="7"/>
      </tp>
      <tp>
        <v>5704</v>
        <stp/>
        <stp>OPEN_INT</stp>
        <stp>.SPXW240129C4950</stp>
        <tr r="D150" s="7"/>
      </tp>
      <tp>
        <v>0</v>
        <stp/>
        <stp>OPEN_INT</stp>
        <stp>.SPXW240129C3950</stp>
        <tr r="D30" s="7"/>
      </tp>
      <tp>
        <v>4679</v>
        <stp/>
        <stp>OPEN_INT</stp>
        <stp>.SPXW240129C4955</stp>
        <tr r="D151" s="7"/>
      </tp>
      <tp>
        <v>0</v>
        <stp/>
        <stp>OPEN_INT</stp>
        <stp>.SPXW240129P4950</stp>
        <tr r="R150" s="7"/>
      </tp>
      <tp>
        <v>5959</v>
        <stp/>
        <stp>OPEN_INT</stp>
        <stp>.SPXW240129P3950</stp>
        <tr r="R30" s="7"/>
      </tp>
      <tp>
        <v>0</v>
        <stp/>
        <stp>OPEN_INT</stp>
        <stp>.SPXW240129P4955</stp>
        <tr r="R151" s="7"/>
      </tp>
      <tp>
        <v>7849</v>
        <stp/>
        <stp>OPEN_INT</stp>
        <stp>.SPXW240129C4940</stp>
        <tr r="D148" s="7"/>
      </tp>
      <tp>
        <v>5327</v>
        <stp/>
        <stp>OPEN_INT</stp>
        <stp>.SPXW240129C4945</stp>
        <tr r="D149" s="7"/>
      </tp>
      <tp>
        <v>0</v>
        <stp/>
        <stp>OPEN_INT</stp>
        <stp>.SPXW240129P4940</stp>
        <tr r="R148" s="7"/>
      </tp>
      <tp>
        <v>0</v>
        <stp/>
        <stp>OPEN_INT</stp>
        <stp>.SPXW240129P4945</stp>
        <tr r="R149" s="7"/>
      </tp>
      <tp>
        <v>4722</v>
        <stp/>
        <stp>OPEN_INT</stp>
        <stp>.SPXW240129C4970</stp>
        <tr r="D154" s="7"/>
      </tp>
      <tp>
        <v>3794</v>
        <stp/>
        <stp>OPEN_INT</stp>
        <stp>.SPXW240129C4975</stp>
        <tr r="D155" s="7"/>
      </tp>
      <tp>
        <v>0</v>
        <stp/>
        <stp>OPEN_INT</stp>
        <stp>.SPXW240129P4970</stp>
        <tr r="R154" s="7"/>
      </tp>
      <tp>
        <v>0</v>
        <stp/>
        <stp>OPEN_INT</stp>
        <stp>.SPXW240129P4975</stp>
        <tr r="R155" s="7"/>
      </tp>
      <tp>
        <v>7116</v>
        <stp/>
        <stp>OPEN_INT</stp>
        <stp>.SPXW240129C4960</stp>
        <tr r="D152" s="7"/>
      </tp>
      <tp>
        <v>5156</v>
        <stp/>
        <stp>OPEN_INT</stp>
        <stp>.SPXW240129C4965</stp>
        <tr r="D153" s="7"/>
      </tp>
      <tp>
        <v>0</v>
        <stp/>
        <stp>OPEN_INT</stp>
        <stp>.SPXW240129P4960</stp>
        <tr r="R152" s="7"/>
      </tp>
      <tp>
        <v>0</v>
        <stp/>
        <stp>OPEN_INT</stp>
        <stp>.SPXW240129P4965</stp>
        <tr r="R153" s="7"/>
      </tp>
      <tp>
        <v>0</v>
        <stp/>
        <stp>OPEN_INT</stp>
        <stp>.SPXW240129C4890</stp>
        <tr r="D138" s="7"/>
      </tp>
      <tp>
        <v>0</v>
        <stp/>
        <stp>OPEN_INT</stp>
        <stp>.SPXW240129C4895</stp>
        <tr r="D139" s="7"/>
      </tp>
      <tp>
        <v>7775</v>
        <stp/>
        <stp>OPEN_INT</stp>
        <stp>.SPXW240129P4890</stp>
        <tr r="R138" s="7"/>
      </tp>
      <tp>
        <v>7368</v>
        <stp/>
        <stp>OPEN_INT</stp>
        <stp>.SPXW240129P4895</stp>
        <tr r="R139" s="7"/>
      </tp>
      <tp>
        <v>0</v>
        <stp/>
        <stp>OPEN_INT</stp>
        <stp>.SPXW240129C4880</stp>
        <tr r="D136" s="7"/>
      </tp>
      <tp>
        <v>0</v>
        <stp/>
        <stp>OPEN_INT</stp>
        <stp>.SPXW240129C4885</stp>
        <tr r="D137" s="7"/>
      </tp>
      <tp>
        <v>7485</v>
        <stp/>
        <stp>OPEN_INT</stp>
        <stp>.SPXW240129P4880</stp>
        <tr r="R136" s="7"/>
      </tp>
      <tp>
        <v>8665</v>
        <stp/>
        <stp>OPEN_INT</stp>
        <stp>.SPXW240129P4885</stp>
        <tr r="R137" s="7"/>
      </tp>
      <tp>
        <v>0</v>
        <stp/>
        <stp>OPEN_INT</stp>
        <stp>.SPXW240129C4810</stp>
        <tr r="D122" s="7"/>
      </tp>
      <tp>
        <v>0</v>
        <stp/>
        <stp>OPEN_INT</stp>
        <stp>.SPXW240129C4815</stp>
        <tr r="D123" s="7"/>
      </tp>
      <tp>
        <v>2933</v>
        <stp/>
        <stp>OPEN_INT</stp>
        <stp>.SPXW240129P4810</stp>
        <tr r="R122" s="7"/>
      </tp>
      <tp>
        <v>5547</v>
        <stp/>
        <stp>OPEN_INT</stp>
        <stp>.SPXW240129P4815</stp>
        <tr r="R123" s="7"/>
      </tp>
      <tp>
        <v>0</v>
        <stp/>
        <stp>OPEN_INT</stp>
        <stp>.SPXW240129C4800</stp>
        <tr r="D120" s="7"/>
      </tp>
      <tp>
        <v>0</v>
        <stp/>
        <stp>OPEN_INT</stp>
        <stp>.SPXW240129C5800</stp>
        <tr r="D185" s="7"/>
      </tp>
      <tp>
        <v>0</v>
        <stp/>
        <stp>OPEN_INT</stp>
        <stp>.SPXW240129C2800</stp>
        <tr r="D18" s="7"/>
      </tp>
      <tp>
        <v>0</v>
        <stp/>
        <stp>OPEN_INT</stp>
        <stp>.SPXW240129C3800</stp>
        <tr r="D27" s="7"/>
      </tp>
      <tp>
        <v>0</v>
        <stp/>
        <stp>OPEN_INT</stp>
        <stp>.SPXW240129C1800</stp>
        <tr r="D13" s="7"/>
      </tp>
      <tp>
        <v>0</v>
        <stp/>
        <stp>OPEN_INT</stp>
        <stp>.SPXW240129C4805</stp>
        <tr r="D121" s="7"/>
      </tp>
      <tp>
        <v>6832</v>
        <stp/>
        <stp>OPEN_INT</stp>
        <stp>.SPXW240129P4800</stp>
        <tr r="R120" s="7"/>
      </tp>
      <tp>
        <v>0</v>
        <stp/>
        <stp>OPEN_INT</stp>
        <stp>.SPXW240129P5800</stp>
        <tr r="R185" s="7"/>
      </tp>
      <tp>
        <v>2</v>
        <stp/>
        <stp>OPEN_INT</stp>
        <stp>.SPXW240129P2800</stp>
        <tr r="R18" s="7"/>
      </tp>
      <tp>
        <v>1789</v>
        <stp/>
        <stp>OPEN_INT</stp>
        <stp>.SPXW240129P3800</stp>
        <tr r="R27" s="7"/>
      </tp>
      <tp>
        <v>0</v>
        <stp/>
        <stp>OPEN_INT</stp>
        <stp>.SPXW240129P1800</stp>
        <tr r="R13" s="7"/>
      </tp>
      <tp>
        <v>6155</v>
        <stp/>
        <stp>OPEN_INT</stp>
        <stp>.SPXW240129P4805</stp>
        <tr r="R121" s="7"/>
      </tp>
      <tp>
        <v>0</v>
        <stp/>
        <stp>OPEN_INT</stp>
        <stp>.SPXW240129C4830</stp>
        <tr r="D126" s="7"/>
      </tp>
      <tp>
        <v>0</v>
        <stp/>
        <stp>OPEN_INT</stp>
        <stp>.SPXW240129C4835</stp>
        <tr r="D127" s="7"/>
      </tp>
      <tp>
        <v>6657</v>
        <stp/>
        <stp>OPEN_INT</stp>
        <stp>.SPXW240129P4830</stp>
        <tr r="R126" s="7"/>
      </tp>
      <tp>
        <v>6913</v>
        <stp/>
        <stp>OPEN_INT</stp>
        <stp>.SPXW240129P4835</stp>
        <tr r="R127" s="7"/>
      </tp>
      <tp>
        <v>0</v>
        <stp/>
        <stp>OPEN_INT</stp>
        <stp>.SPXW240129C4820</stp>
        <tr r="D124" s="7"/>
      </tp>
      <tp>
        <v>0</v>
        <stp/>
        <stp>OPEN_INT</stp>
        <stp>.SPXW240129C4825</stp>
        <tr r="D125" s="7"/>
      </tp>
      <tp>
        <v>4769</v>
        <stp/>
        <stp>OPEN_INT</stp>
        <stp>.SPXW240129P4820</stp>
        <tr r="R124" s="7"/>
      </tp>
      <tp>
        <v>6276</v>
        <stp/>
        <stp>OPEN_INT</stp>
        <stp>.SPXW240129P4825</stp>
        <tr r="R125" s="7"/>
      </tp>
      <tp>
        <v>0</v>
        <stp/>
        <stp>OPEN_INT</stp>
        <stp>.SPXW240129C4850</stp>
        <tr r="D130" s="7"/>
      </tp>
      <tp>
        <v>0</v>
        <stp/>
        <stp>OPEN_INT</stp>
        <stp>.SPXW240129C3850</stp>
        <tr r="D28" s="7"/>
      </tp>
      <tp>
        <v>0</v>
        <stp/>
        <stp>OPEN_INT</stp>
        <stp>.SPXW240129C4855</stp>
        <tr r="D131" s="7"/>
      </tp>
      <tp>
        <v>10512</v>
        <stp/>
        <stp>OPEN_INT</stp>
        <stp>.SPXW240129P4850</stp>
        <tr r="R130" s="7"/>
      </tp>
      <tp>
        <v>7299</v>
        <stp/>
        <stp>OPEN_INT</stp>
        <stp>.SPXW240129P3850</stp>
        <tr r="R28" s="7"/>
      </tp>
      <tp>
        <v>9004</v>
        <stp/>
        <stp>OPEN_INT</stp>
        <stp>.SPXW240129P4855</stp>
        <tr r="R131" s="7"/>
      </tp>
      <tp>
        <v>0</v>
        <stp/>
        <stp>OPEN_INT</stp>
        <stp>.SPXW240129C4840</stp>
        <tr r="D128" s="7"/>
      </tp>
      <tp>
        <v>0</v>
        <stp/>
        <stp>OPEN_INT</stp>
        <stp>.SPXW240129C4845</stp>
        <tr r="D129" s="7"/>
      </tp>
      <tp>
        <v>10505</v>
        <stp/>
        <stp>OPEN_INT</stp>
        <stp>.SPXW240129P4840</stp>
        <tr r="R128" s="7"/>
      </tp>
      <tp>
        <v>14364</v>
        <stp/>
        <stp>OPEN_INT</stp>
        <stp>.SPXW240129P4845</stp>
        <tr r="R129" s="7"/>
      </tp>
      <tp>
        <v>0</v>
        <stp/>
        <stp>OPEN_INT</stp>
        <stp>.SPXW240129C4870</stp>
        <tr r="D134" s="7"/>
      </tp>
      <tp>
        <v>0</v>
        <stp/>
        <stp>OPEN_INT</stp>
        <stp>.SPXW240129C4875</stp>
        <tr r="D135" s="7"/>
      </tp>
      <tp>
        <v>10084</v>
        <stp/>
        <stp>OPEN_INT</stp>
        <stp>.SPXW240129P4870</stp>
        <tr r="R134" s="7"/>
      </tp>
      <tp>
        <v>8985</v>
        <stp/>
        <stp>OPEN_INT</stp>
        <stp>.SPXW240129P4875</stp>
        <tr r="R135" s="7"/>
      </tp>
      <tp>
        <v>0</v>
        <stp/>
        <stp>OPEN_INT</stp>
        <stp>.SPXW240129C4860</stp>
        <tr r="D132" s="7"/>
      </tp>
      <tp>
        <v>0</v>
        <stp/>
        <stp>OPEN_INT</stp>
        <stp>.SPXW240129C4865</stp>
        <tr r="D133" s="7"/>
      </tp>
      <tp>
        <v>8587</v>
        <stp/>
        <stp>OPEN_INT</stp>
        <stp>.SPXW240129P4860</stp>
        <tr r="R132" s="7"/>
      </tp>
      <tp>
        <v>8045</v>
        <stp/>
        <stp>OPEN_INT</stp>
        <stp>.SPXW240129P4865</stp>
        <tr r="R133" s="7"/>
      </tp>
      <tp>
        <v>132.93</v>
        <stp/>
        <stp>NET_CHANGE</stp>
        <stp>SPX</stp>
        <tr r="C4" s="7"/>
      </tp>
      <tp>
        <v>173</v>
        <stp/>
        <stp>OPEN_INT</stp>
        <stp>.QQQ241106P501</stp>
        <tr r="N7" s="4"/>
      </tp>
      <tp>
        <v>5094</v>
        <stp/>
        <stp>OPEN_INT</stp>
        <stp>.QQQ241106C501</stp>
        <tr r="G7" s="4"/>
      </tp>
      <tp>
        <v>462</v>
        <stp/>
        <stp>OPEN_INT</stp>
        <stp>.QQQ241106P500</stp>
        <tr r="N6" s="4"/>
      </tp>
      <tp>
        <v>18924</v>
        <stp/>
        <stp>OPEN_INT</stp>
        <stp>.QQQ241106C500</stp>
        <tr r="G6" s="4"/>
      </tp>
      <tp>
        <v>98</v>
        <stp/>
        <stp>OPEN_INT</stp>
        <stp>.QQQ241106P503</stp>
        <tr r="N9" s="4"/>
      </tp>
      <tp>
        <v>1885</v>
        <stp/>
        <stp>OPEN_INT</stp>
        <stp>.QQQ241106C503</stp>
        <tr r="G9" s="4"/>
      </tp>
      <tp>
        <v>492</v>
        <stp/>
        <stp>OPEN_INT</stp>
        <stp>.QQQ241106P502</stp>
        <tr r="N8" s="4"/>
      </tp>
      <tp>
        <v>7929</v>
        <stp/>
        <stp>OPEN_INT</stp>
        <stp>.QQQ241106C502</stp>
        <tr r="G8" s="4"/>
      </tp>
      <tp>
        <v>87</v>
        <stp/>
        <stp>OPEN_INT</stp>
        <stp>.QQQ241106P505</stp>
        <tr r="N11" s="4"/>
      </tp>
      <tp>
        <v>11372</v>
        <stp/>
        <stp>OPEN_INT</stp>
        <stp>.QQQ241106C505</stp>
        <tr r="G11" s="4"/>
      </tp>
      <tp>
        <v>143</v>
        <stp/>
        <stp>OPEN_INT</stp>
        <stp>.QQQ241106P504</stp>
        <tr r="N10" s="4"/>
      </tp>
      <tp>
        <v>4728</v>
        <stp/>
        <stp>OPEN_INT</stp>
        <stp>.QQQ241106C504</stp>
        <tr r="G10" s="4"/>
      </tp>
      <tp>
        <v>23</v>
        <stp/>
        <stp>OPEN_INT</stp>
        <stp>.QQQ241106P507</stp>
        <tr r="N13" s="4"/>
      </tp>
      <tp>
        <v>2778</v>
        <stp/>
        <stp>OPEN_INT</stp>
        <stp>.QQQ241106C507</stp>
        <tr r="G13" s="4"/>
      </tp>
      <tp>
        <v>30</v>
        <stp/>
        <stp>OPEN_INT</stp>
        <stp>.QQQ241106P506</stp>
        <tr r="N12" s="4"/>
      </tp>
      <tp>
        <v>3400</v>
        <stp/>
        <stp>OPEN_INT</stp>
        <stp>.QQQ241106C506</stp>
        <tr r="G12" s="4"/>
      </tp>
      <tp>
        <v>2</v>
        <stp/>
        <stp>OPEN_INT</stp>
        <stp>.QQQ241106P509</stp>
        <tr r="N15" s="4"/>
      </tp>
      <tp>
        <v>7026</v>
        <stp/>
        <stp>OPEN_INT</stp>
        <stp>.QQQ241106C509</stp>
        <tr r="G15" s="4"/>
      </tp>
      <tp>
        <v>9</v>
        <stp/>
        <stp>OPEN_INT</stp>
        <stp>.QQQ241106P508</stp>
        <tr r="N14" s="4"/>
      </tp>
      <tp>
        <v>1861</v>
        <stp/>
        <stp>OPEN_INT</stp>
        <stp>.QQQ241106C508</stp>
        <tr r="G14" s="4"/>
      </tp>
      <tp>
        <v>0</v>
        <stp/>
        <stp>OPEN_INT</stp>
        <stp>.QQQ241106P511</stp>
        <tr r="N17" s="4"/>
      </tp>
      <tp>
        <v>1901</v>
        <stp/>
        <stp>OPEN_INT</stp>
        <stp>.QQQ241106C511</stp>
        <tr r="G17" s="4"/>
      </tp>
      <tp>
        <v>23</v>
        <stp/>
        <stp>OPEN_INT</stp>
        <stp>.QQQ241106P510</stp>
        <tr r="N16" s="4"/>
      </tp>
      <tp>
        <v>2860</v>
        <stp/>
        <stp>OPEN_INT</stp>
        <stp>.QQQ241106C510</stp>
        <tr r="G16" s="4"/>
      </tp>
      <tp>
        <v>0</v>
        <stp/>
        <stp>OPEN_INT</stp>
        <stp>.QQQ241106P512</stp>
        <tr r="N18" s="4"/>
      </tp>
      <tp>
        <v>849</v>
        <stp/>
        <stp>OPEN_INT</stp>
        <stp>.QQQ241106C512</stp>
        <tr r="G18" s="4"/>
      </tp>
      <tp>
        <v>505</v>
        <stp/>
        <stp>OPEN_INT</stp>
        <stp>.QQQ241106P497</stp>
        <tr r="N3" s="4"/>
      </tp>
      <tp>
        <v>3222</v>
        <stp/>
        <stp>OPEN_INT</stp>
        <stp>.QQQ241106C497</stp>
        <tr r="G3" s="4"/>
      </tp>
      <tp>
        <v>558</v>
        <stp/>
        <stp>OPEN_INT</stp>
        <stp>.QQQ241106P496</stp>
        <tr r="N2" s="4"/>
      </tp>
      <tp>
        <v>4677</v>
        <stp/>
        <stp>OPEN_INT</stp>
        <stp>.QQQ241106C496</stp>
        <tr r="G2" s="4"/>
      </tp>
      <tp>
        <v>403</v>
        <stp/>
        <stp>OPEN_INT</stp>
        <stp>.QQQ241106P499</stp>
        <tr r="N5" s="4"/>
      </tp>
      <tp>
        <v>3622</v>
        <stp/>
        <stp>OPEN_INT</stp>
        <stp>.QQQ241106C499</stp>
        <tr r="G5" s="4"/>
      </tp>
      <tp>
        <v>754</v>
        <stp/>
        <stp>OPEN_INT</stp>
        <stp>.QQQ241106P498</stp>
        <tr r="N4" s="4"/>
      </tp>
      <tp>
        <v>5415</v>
        <stp/>
        <stp>OPEN_INT</stp>
        <stp>.QQQ241106C498</stp>
        <tr r="G4" s="4"/>
      </tp>
      <tp t="s">
        <v/>
        <stp/>
        <stp>LX</stp>
        <stp>SPX</stp>
        <tr r="B4" s="7"/>
      </tp>
      <tp t="s">
        <v/>
        <stp/>
        <stp>BX</stp>
        <stp>SPX</stp>
        <tr r="E4" s="7"/>
      </tp>
      <tp t="s">
        <v/>
        <stp/>
        <stp>AX</stp>
        <stp>SPX</stp>
        <tr r="G4" s="7"/>
      </tp>
      <tp t="s">
        <v>N/A</v>
        <stp/>
        <stp>PE</stp>
        <stp>SPX</stp>
        <tr r="C7" s="7"/>
      </tp>
      <tp>
        <v>1</v>
        <stp/>
        <stp>STOCK_BETA</stp>
        <stp>SPX</stp>
        <tr r="J7" s="7"/>
      </tp>
      <tp>
        <v>0.08</v>
        <stp/>
        <stp>ASK</stp>
        <stp>.QQQ241106C507</stp>
        <tr r="D13" s="4"/>
      </tp>
      <tp>
        <v>3.03</v>
        <stp/>
        <stp>ASK</stp>
        <stp>.QQQ241106P507</stp>
        <tr r="Q13" s="4"/>
      </tp>
      <tp>
        <v>0.19</v>
        <stp/>
        <stp>ASK</stp>
        <stp>.QQQ241106C506</stp>
        <tr r="D12" s="4"/>
      </tp>
      <tp>
        <v>2.1</v>
        <stp/>
        <stp>ASK</stp>
        <stp>.QQQ241106P506</stp>
        <tr r="Q12" s="4"/>
      </tp>
      <tp>
        <v>0.44</v>
        <stp/>
        <stp>ASK</stp>
        <stp>.QQQ241106C505</stp>
        <tr r="D11" s="4"/>
      </tp>
      <tp>
        <v>1.33</v>
        <stp/>
        <stp>ASK</stp>
        <stp>.QQQ241106P505</stp>
        <tr r="Q11" s="4"/>
      </tp>
      <tp>
        <v>0.9</v>
        <stp/>
        <stp>ASK</stp>
        <stp>.QQQ241106C504</stp>
        <tr r="D10" s="4"/>
      </tp>
      <tp>
        <v>0.78</v>
        <stp/>
        <stp>ASK</stp>
        <stp>.QQQ241106P504</stp>
        <tr r="Q10" s="4"/>
      </tp>
      <tp>
        <v>1.57</v>
        <stp/>
        <stp>ASK</stp>
        <stp>.QQQ241106C503</stp>
        <tr r="D9" s="4"/>
      </tp>
      <tp>
        <v>0.46</v>
        <stp/>
        <stp>ASK</stp>
        <stp>.QQQ241106P503</stp>
        <tr r="Q9" s="4"/>
      </tp>
      <tp>
        <v>2.41</v>
        <stp/>
        <stp>ASK</stp>
        <stp>.QQQ241106C502</stp>
        <tr r="D8" s="4"/>
      </tp>
      <tp>
        <v>0.27</v>
        <stp/>
        <stp>ASK</stp>
        <stp>.QQQ241106P502</stp>
        <tr r="Q8" s="4"/>
      </tp>
      <tp>
        <v>3.32</v>
        <stp/>
        <stp>ASK</stp>
        <stp>.QQQ241106C501</stp>
        <tr r="D7" s="4"/>
      </tp>
      <tp>
        <v>0.17</v>
        <stp/>
        <stp>ASK</stp>
        <stp>.QQQ241106P501</stp>
        <tr r="Q7" s="4"/>
      </tp>
      <tp>
        <v>4.29</v>
        <stp/>
        <stp>ASK</stp>
        <stp>.QQQ241106C500</stp>
        <tr r="D6" s="4"/>
      </tp>
      <tp>
        <v>0.11</v>
        <stp/>
        <stp>ASK</stp>
        <stp>.QQQ241106P500</stp>
        <tr r="Q6" s="4"/>
      </tp>
      <tp>
        <v>0.02</v>
        <stp/>
        <stp>ASK</stp>
        <stp>.QQQ241106C509</stp>
        <tr r="D15" s="4"/>
      </tp>
      <tp>
        <v>5.0999999999999996</v>
        <stp/>
        <stp>ASK</stp>
        <stp>.QQQ241106P509</stp>
        <tr r="Q15" s="4"/>
      </tp>
      <tp>
        <v>0.03</v>
        <stp/>
        <stp>ASK</stp>
        <stp>.QQQ241106C508</stp>
        <tr r="D14" s="4"/>
      </tp>
      <tp>
        <v>4.1399999999999997</v>
        <stp/>
        <stp>ASK</stp>
        <stp>.QQQ241106P508</stp>
        <tr r="Q14" s="4"/>
      </tp>
      <tp>
        <v>0.01</v>
        <stp/>
        <stp>ASK</stp>
        <stp>.QQQ241106C512</stp>
        <tr r="D18" s="4"/>
      </tp>
      <tp>
        <v>8.11</v>
        <stp/>
        <stp>ASK</stp>
        <stp>.QQQ241106P512</stp>
        <tr r="Q18" s="4"/>
      </tp>
      <tp>
        <v>0.01</v>
        <stp/>
        <stp>ASK</stp>
        <stp>.QQQ241106C511</stp>
        <tr r="D17" s="4"/>
      </tp>
      <tp>
        <v>7.1</v>
        <stp/>
        <stp>ASK</stp>
        <stp>.QQQ241106P511</stp>
        <tr r="Q17" s="4"/>
      </tp>
      <tp>
        <v>0.01</v>
        <stp/>
        <stp>ASK</stp>
        <stp>.QQQ241106C510</stp>
        <tr r="D16" s="4"/>
      </tp>
      <tp>
        <v>5.98</v>
        <stp/>
        <stp>ASK</stp>
        <stp>.QQQ241106P510</stp>
        <tr r="Q16" s="4"/>
      </tp>
      <tp>
        <v>7.29</v>
        <stp/>
        <stp>ASK</stp>
        <stp>.QQQ241106C497</stp>
        <tr r="D3" s="4"/>
      </tp>
      <tp>
        <v>0.04</v>
        <stp/>
        <stp>ASK</stp>
        <stp>.QQQ241106P497</stp>
        <tr r="Q3" s="4"/>
      </tp>
      <tp>
        <v>8.27</v>
        <stp/>
        <stp>ASK</stp>
        <stp>.QQQ241106C496</stp>
        <tr r="D2" s="4"/>
      </tp>
      <tp>
        <v>0.03</v>
        <stp/>
        <stp>ASK</stp>
        <stp>.QQQ241106P496</stp>
        <tr r="Q2" s="4"/>
      </tp>
      <tp>
        <v>5.36</v>
        <stp/>
        <stp>ASK</stp>
        <stp>.QQQ241106C499</stp>
        <tr r="D5" s="4"/>
      </tp>
      <tp>
        <v>7.0000000000000007E-2</v>
        <stp/>
        <stp>ASK</stp>
        <stp>.QQQ241106P499</stp>
        <tr r="Q5" s="4"/>
      </tp>
      <tp>
        <v>6.29</v>
        <stp/>
        <stp>ASK</stp>
        <stp>.QQQ241106C498</stp>
        <tr r="D4" s="4"/>
      </tp>
      <tp>
        <v>0.05</v>
        <stp/>
        <stp>ASK</stp>
        <stp>.QQQ241106P498</stp>
        <tr r="Q4" s="4"/>
      </tp>
      <tp>
        <v>0</v>
        <stp/>
        <stp>LAST_SIZE</stp>
        <stp>SPX</stp>
        <tr r="A7" s="7"/>
      </tp>
      <tp>
        <v>5080</v>
        <stp/>
        <stp>STRIKE</stp>
        <stp>.SPXW240129C5080</stp>
        <tr r="L173" s="7"/>
      </tp>
      <tp>
        <v>5030</v>
        <stp/>
        <stp>STRIKE</stp>
        <stp>.SPXW240129C5030</stp>
        <tr r="L166" s="7"/>
      </tp>
      <tp>
        <v>5035</v>
        <stp/>
        <stp>STRIKE</stp>
        <stp>.SPXW240129C5035</stp>
        <tr r="L167" s="7"/>
      </tp>
      <tp>
        <v>5020</v>
        <stp/>
        <stp>STRIKE</stp>
        <stp>.SPXW240129C5020</stp>
        <tr r="L164" s="7"/>
      </tp>
      <tp>
        <v>5025</v>
        <stp/>
        <stp>STRIKE</stp>
        <stp>.SPXW240129C5025</stp>
        <tr r="L165" s="7"/>
      </tp>
      <tp>
        <v>5010</v>
        <stp/>
        <stp>STRIKE</stp>
        <stp>.SPXW240129C5010</stp>
        <tr r="L162" s="7"/>
      </tp>
      <tp>
        <v>5015</v>
        <stp/>
        <stp>STRIKE</stp>
        <stp>.SPXW240129C5015</stp>
        <tr r="L163" s="7"/>
      </tp>
      <tp>
        <v>3000</v>
        <stp/>
        <stp>STRIKE</stp>
        <stp>.SPXW240129C3000</stp>
        <tr r="L19" s="7"/>
      </tp>
      <tp>
        <v>2000</v>
        <stp/>
        <stp>STRIKE</stp>
        <stp>.SPXW240129C2000</stp>
        <tr r="L14" s="7"/>
      </tp>
      <tp>
        <v>5000</v>
        <stp/>
        <stp>STRIKE</stp>
        <stp>.SPXW240129C5000</stp>
        <tr r="L160" s="7"/>
      </tp>
      <tp>
        <v>4000</v>
        <stp/>
        <stp>STRIKE</stp>
        <stp>.SPXW240129C4000</stp>
        <tr r="L31" s="7"/>
      </tp>
      <tp>
        <v>6000</v>
        <stp/>
        <stp>STRIKE</stp>
        <stp>.SPXW240129C6000</stp>
        <tr r="L186" s="7"/>
      </tp>
      <tp>
        <v>5005</v>
        <stp/>
        <stp>STRIKE</stp>
        <stp>.SPXW240129C5005</stp>
        <tr r="L161" s="7"/>
      </tp>
      <tp>
        <v>5070</v>
        <stp/>
        <stp>STRIKE</stp>
        <stp>.SPXW240129C5070</stp>
        <tr r="L171" s="7"/>
      </tp>
      <tp>
        <v>5075</v>
        <stp/>
        <stp>STRIKE</stp>
        <stp>.SPXW240129C5075</stp>
        <tr r="L172" s="7"/>
      </tp>
      <tp>
        <v>5060</v>
        <stp/>
        <stp>STRIKE</stp>
        <stp>.SPXW240129C5060</stp>
        <tr r="L170" s="7"/>
      </tp>
      <tp>
        <v>5050</v>
        <stp/>
        <stp>STRIKE</stp>
        <stp>.SPXW240129C5050</stp>
        <tr r="L169" s="7"/>
      </tp>
      <tp>
        <v>4050</v>
        <stp/>
        <stp>STRIKE</stp>
        <stp>.SPXW240129C4050</stp>
        <tr r="L32" s="7"/>
      </tp>
      <tp>
        <v>5040</v>
        <stp/>
        <stp>STRIKE</stp>
        <stp>.SPXW240129C5040</stp>
        <tr r="L168" s="7"/>
      </tp>
      <tp t="s">
        <v>N/A</v>
        <stp/>
        <stp>VOLUME</stp>
        <stp>.SPXW240129C5300</stp>
        <tr r="C181" s="7"/>
      </tp>
      <tp t="s">
        <v>N/A</v>
        <stp/>
        <stp>VOLUME</stp>
        <stp>.SPXW240129C4300</stp>
        <tr r="C41" s="7"/>
      </tp>
      <tp t="s">
        <v>N/A</v>
        <stp/>
        <stp>VOLUME</stp>
        <stp>.SPXW240129P5300</stp>
        <tr r="Q181" s="7"/>
      </tp>
      <tp t="s">
        <v>N/A</v>
        <stp/>
        <stp>VOLUME</stp>
        <stp>.SPXW240129P4300</stp>
        <tr r="Q41" s="7"/>
      </tp>
      <tp t="s">
        <v>2024-01-29</v>
        <stp/>
        <stp>EXPIRATION_DAY</stp>
        <stp>.SPXW240129C4150</stp>
        <tr r="K35" s="7"/>
      </tp>
      <tp t="s">
        <v>2024-01-29</v>
        <stp/>
        <stp>EXPIRATION_DAY</stp>
        <stp>.SPXW240129C5150</stp>
        <tr r="K176" s="7"/>
      </tp>
      <tp t="s">
        <v>N/A</v>
        <stp/>
        <stp>VOLUME</stp>
        <stp>.SPXW240129C4325</stp>
        <tr r="C42" s="7"/>
      </tp>
      <tp t="s">
        <v>N/A</v>
        <stp/>
        <stp>VOLUME</stp>
        <stp>.SPXW240129P4325</stp>
        <tr r="Q42" s="7"/>
      </tp>
      <tp t="s">
        <v>2024-01-29</v>
        <stp/>
        <stp>EXPIRATION_DAY</stp>
        <stp>.SPXW240129C4175</stp>
        <tr r="K36" s="7"/>
      </tp>
      <tp t="s">
        <v>2024-01-29</v>
        <stp/>
        <stp>EXPIRATION_DAY</stp>
        <stp>.SPXW240129C5175</stp>
        <tr r="K177" s="7"/>
      </tp>
      <tp t="s">
        <v>2024-01-29</v>
        <stp/>
        <stp>EXPIRATION_DAY</stp>
        <stp>.SPXW240129C4100</stp>
        <tr r="K33" s="7"/>
      </tp>
      <tp t="s">
        <v>2024-01-29</v>
        <stp/>
        <stp>EXPIRATION_DAY</stp>
        <stp>.SPXW240129C5100</stp>
        <tr r="K174" s="7"/>
      </tp>
      <tp t="s">
        <v>N/A</v>
        <stp/>
        <stp>VOLUME</stp>
        <stp>.SPXW240129C4350</stp>
        <tr r="C43" s="7"/>
      </tp>
      <tp t="s">
        <v>N/A</v>
        <stp/>
        <stp>VOLUME</stp>
        <stp>.SPXW240129P4350</stp>
        <tr r="Q43" s="7"/>
      </tp>
      <tp t="s">
        <v>2024-01-29</v>
        <stp/>
        <stp>EXPIRATION_DAY</stp>
        <stp>.SPXW240129C4125</stp>
        <tr r="K34" s="7"/>
      </tp>
      <tp t="s">
        <v>2024-01-29</v>
        <stp/>
        <stp>EXPIRATION_DAY</stp>
        <stp>.SPXW240129C5125</stp>
        <tr r="K175" s="7"/>
      </tp>
      <tp t="s">
        <v>N/A</v>
        <stp/>
        <stp>VOLUME</stp>
        <stp>.SPXW240129C4375</stp>
        <tr r="C45" s="7"/>
      </tp>
      <tp t="s">
        <v>N/A</v>
        <stp/>
        <stp>VOLUME</stp>
        <stp>.SPXW240129C4370</stp>
        <tr r="C44" s="7"/>
      </tp>
      <tp t="s">
        <v>N/A</v>
        <stp/>
        <stp>VOLUME</stp>
        <stp>.SPXW240129P4375</stp>
        <tr r="Q45" s="7"/>
      </tp>
      <tp t="s">
        <v>N/A</v>
        <stp/>
        <stp>VOLUME</stp>
        <stp>.SPXW240129P4370</stp>
        <tr r="Q44" s="7"/>
      </tp>
      <tp t="s">
        <v>N/A</v>
        <stp/>
        <stp>VOLUME</stp>
        <stp>.SPXW240129C4380</stp>
        <tr r="C46" s="7"/>
      </tp>
      <tp t="s">
        <v>N/A</v>
        <stp/>
        <stp>VOLUME</stp>
        <stp>.SPXW240129P4380</stp>
        <tr r="Q46" s="7"/>
      </tp>
      <tp t="s">
        <v>N/A</v>
        <stp/>
        <stp>VOLUME</stp>
        <stp>.SPXW240129C4390</stp>
        <tr r="C47" s="7"/>
      </tp>
      <tp t="s">
        <v>N/A</v>
        <stp/>
        <stp>VOLUME</stp>
        <stp>.SPXW240129P4390</stp>
        <tr r="Q47" s="7"/>
      </tp>
      <tp>
        <v>5125</v>
        <stp/>
        <stp>STRIKE</stp>
        <stp>.SPXW240129C5125</stp>
        <tr r="L175" s="7"/>
      </tp>
      <tp>
        <v>4125</v>
        <stp/>
        <stp>STRIKE</stp>
        <stp>.SPXW240129C4125</stp>
        <tr r="L34" s="7"/>
      </tp>
      <tp>
        <v>5100</v>
        <stp/>
        <stp>STRIKE</stp>
        <stp>.SPXW240129C5100</stp>
        <tr r="L174" s="7"/>
      </tp>
      <tp>
        <v>4100</v>
        <stp/>
        <stp>STRIKE</stp>
        <stp>.SPXW240129C4100</stp>
        <tr r="L33" s="7"/>
      </tp>
      <tp>
        <v>5175</v>
        <stp/>
        <stp>STRIKE</stp>
        <stp>.SPXW240129C5175</stp>
        <tr r="L177" s="7"/>
      </tp>
      <tp>
        <v>4175</v>
        <stp/>
        <stp>STRIKE</stp>
        <stp>.SPXW240129C4175</stp>
        <tr r="L36" s="7"/>
      </tp>
      <tp>
        <v>5150</v>
        <stp/>
        <stp>STRIKE</stp>
        <stp>.SPXW240129C5150</stp>
        <tr r="L176" s="7"/>
      </tp>
      <tp>
        <v>4150</v>
        <stp/>
        <stp>STRIKE</stp>
        <stp>.SPXW240129C4150</stp>
        <tr r="L35" s="7"/>
      </tp>
      <tp t="s">
        <v>N/A</v>
        <stp/>
        <stp>VOLUME</stp>
        <stp>.SPXW240129C5200</stp>
        <tr r="C178" s="7"/>
      </tp>
      <tp t="s">
        <v>N/A</v>
        <stp/>
        <stp>VOLUME</stp>
        <stp>.SPXW240129C4200</stp>
        <tr r="C37" s="7"/>
      </tp>
      <tp t="s">
        <v>N/A</v>
        <stp/>
        <stp>VOLUME</stp>
        <stp>.SPXW240129C6200</stp>
        <tr r="C187" s="7"/>
      </tp>
      <tp t="s">
        <v>N/A</v>
        <stp/>
        <stp>VOLUME</stp>
        <stp>.SPXW240129C1200</stp>
        <tr r="C10" s="7"/>
      </tp>
      <tp t="s">
        <v>N/A</v>
        <stp/>
        <stp>VOLUME</stp>
        <stp>.SPXW240129C3200</stp>
        <tr r="C20" s="7"/>
      </tp>
      <tp t="s">
        <v>N/A</v>
        <stp/>
        <stp>VOLUME</stp>
        <stp>.SPXW240129C2200</stp>
        <tr r="C15" s="7"/>
      </tp>
      <tp t="s">
        <v>2024-01-29</v>
        <stp/>
        <stp>EXPIRATION_DAY</stp>
        <stp>.SPXW240129C5040</stp>
        <tr r="K168" s="7"/>
      </tp>
      <tp t="s">
        <v>N/A</v>
        <stp/>
        <stp>VOLUME</stp>
        <stp>.SPXW240129P5200</stp>
        <tr r="Q178" s="7"/>
      </tp>
      <tp t="s">
        <v>N/A</v>
        <stp/>
        <stp>VOLUME</stp>
        <stp>.SPXW240129P4200</stp>
        <tr r="Q37" s="7"/>
      </tp>
      <tp t="s">
        <v>N/A</v>
        <stp/>
        <stp>VOLUME</stp>
        <stp>.SPXW240129P6200</stp>
        <tr r="Q187" s="7"/>
      </tp>
      <tp t="s">
        <v>N/A</v>
        <stp/>
        <stp>VOLUME</stp>
        <stp>.SPXW240129P1200</stp>
        <tr r="Q10" s="7"/>
      </tp>
      <tp t="s">
        <v>N/A</v>
        <stp/>
        <stp>VOLUME</stp>
        <stp>.SPXW240129P3200</stp>
        <tr r="Q20" s="7"/>
      </tp>
      <tp t="s">
        <v>N/A</v>
        <stp/>
        <stp>VOLUME</stp>
        <stp>.SPXW240129P2200</stp>
        <tr r="Q15" s="7"/>
      </tp>
      <tp t="s">
        <v>2024-01-29</v>
        <stp/>
        <stp>EXPIRATION_DAY</stp>
        <stp>.SPXW240129C4050</stp>
        <tr r="K32" s="7"/>
      </tp>
      <tp t="s">
        <v>2024-01-29</v>
        <stp/>
        <stp>EXPIRATION_DAY</stp>
        <stp>.SPXW240129C5050</stp>
        <tr r="K169" s="7"/>
      </tp>
      <tp t="s">
        <v>N/A</v>
        <stp/>
        <stp>VOLUME</stp>
        <stp>.SPXW240129C5225</stp>
        <tr r="C179" s="7"/>
      </tp>
      <tp t="s">
        <v>N/A</v>
        <stp/>
        <stp>VOLUME</stp>
        <stp>.SPXW240129C4225</stp>
        <tr r="C38" s="7"/>
      </tp>
      <tp t="s">
        <v>N/A</v>
        <stp/>
        <stp>VOLUME</stp>
        <stp>.SPXW240129P5225</stp>
        <tr r="Q179" s="7"/>
      </tp>
      <tp t="s">
        <v>N/A</v>
        <stp/>
        <stp>VOLUME</stp>
        <stp>.SPXW240129P4225</stp>
        <tr r="Q38" s="7"/>
      </tp>
      <tp t="s">
        <v>2024-01-29</v>
        <stp/>
        <stp>EXPIRATION_DAY</stp>
        <stp>.SPXW240129C5060</stp>
        <tr r="K170" s="7"/>
      </tp>
      <tp t="s">
        <v>2024-01-29</v>
        <stp/>
        <stp>EXPIRATION_DAY</stp>
        <stp>.SPXW240129C5070</stp>
        <tr r="K171" s="7"/>
      </tp>
      <tp t="s">
        <v>2024-01-29</v>
        <stp/>
        <stp>EXPIRATION_DAY</stp>
        <stp>.SPXW240129C5075</stp>
        <tr r="K172" s="7"/>
      </tp>
      <tp t="s">
        <v>2024-01-29</v>
        <stp/>
        <stp>EXPIRATION_DAY</stp>
        <stp>.SPXW240129C4000</stp>
        <tr r="K31" s="7"/>
      </tp>
      <tp t="s">
        <v>2024-01-29</v>
        <stp/>
        <stp>EXPIRATION_DAY</stp>
        <stp>.SPXW240129C5000</stp>
        <tr r="K160" s="7"/>
      </tp>
      <tp t="s">
        <v>2024-01-29</v>
        <stp/>
        <stp>EXPIRATION_DAY</stp>
        <stp>.SPXW240129C6000</stp>
        <tr r="K186" s="7"/>
      </tp>
      <tp t="s">
        <v>2024-01-29</v>
        <stp/>
        <stp>EXPIRATION_DAY</stp>
        <stp>.SPXW240129C2000</stp>
        <tr r="K14" s="7"/>
      </tp>
      <tp t="s">
        <v>2024-01-29</v>
        <stp/>
        <stp>EXPIRATION_DAY</stp>
        <stp>.SPXW240129C3000</stp>
        <tr r="K19" s="7"/>
      </tp>
      <tp t="s">
        <v>2024-01-29</v>
        <stp/>
        <stp>EXPIRATION_DAY</stp>
        <stp>.SPXW240129C5005</stp>
        <tr r="K161" s="7"/>
      </tp>
      <tp t="s">
        <v>N/A</v>
        <stp/>
        <stp>VOLUME</stp>
        <stp>.SPXW240129C5250</stp>
        <tr r="C180" s="7"/>
      </tp>
      <tp t="s">
        <v>N/A</v>
        <stp/>
        <stp>VOLUME</stp>
        <stp>.SPXW240129C4250</stp>
        <tr r="C39" s="7"/>
      </tp>
      <tp t="s">
        <v>2024-01-29</v>
        <stp/>
        <stp>EXPIRATION_DAY</stp>
        <stp>.SPXW240129C5010</stp>
        <tr r="K162" s="7"/>
      </tp>
      <tp t="s">
        <v>2024-01-29</v>
        <stp/>
        <stp>EXPIRATION_DAY</stp>
        <stp>.SPXW240129C5015</stp>
        <tr r="K163" s="7"/>
      </tp>
      <tp t="s">
        <v>N/A</v>
        <stp/>
        <stp>VOLUME</stp>
        <stp>.SPXW240129P5250</stp>
        <tr r="Q180" s="7"/>
      </tp>
      <tp t="s">
        <v>N/A</v>
        <stp/>
        <stp>VOLUME</stp>
        <stp>.SPXW240129P4250</stp>
        <tr r="Q39" s="7"/>
      </tp>
      <tp t="s">
        <v>2024-01-29</v>
        <stp/>
        <stp>EXPIRATION_DAY</stp>
        <stp>.SPXW240129C5020</stp>
        <tr r="K164" s="7"/>
      </tp>
      <tp t="s">
        <v>2024-01-29</v>
        <stp/>
        <stp>EXPIRATION_DAY</stp>
        <stp>.SPXW240129C5025</stp>
        <tr r="K165" s="7"/>
      </tp>
      <tp t="s">
        <v>N/A</v>
        <stp/>
        <stp>VOLUME</stp>
        <stp>.SPXW240129C4275</stp>
        <tr r="C40" s="7"/>
      </tp>
      <tp t="s">
        <v>N/A</v>
        <stp/>
        <stp>VOLUME</stp>
        <stp>.SPXW240129P4275</stp>
        <tr r="Q40" s="7"/>
      </tp>
      <tp t="s">
        <v>2024-01-29</v>
        <stp/>
        <stp>EXPIRATION_DAY</stp>
        <stp>.SPXW240129C5030</stp>
        <tr r="K166" s="7"/>
      </tp>
      <tp t="s">
        <v>2024-01-29</v>
        <stp/>
        <stp>EXPIRATION_DAY</stp>
        <stp>.SPXW240129C5035</stp>
        <tr r="K167" s="7"/>
      </tp>
      <tp t="s">
        <v>2024-01-29</v>
        <stp/>
        <stp>EXPIRATION_DAY</stp>
        <stp>.SPXW240129C5080</stp>
        <tr r="K173" s="7"/>
      </tp>
      <tp>
        <v>5225</v>
        <stp/>
        <stp>STRIKE</stp>
        <stp>.SPXW240129C5225</stp>
        <tr r="L179" s="7"/>
      </tp>
      <tp>
        <v>4225</v>
        <stp/>
        <stp>STRIKE</stp>
        <stp>.SPXW240129C4225</stp>
        <tr r="L38" s="7"/>
      </tp>
      <tp>
        <v>1200</v>
        <stp/>
        <stp>STRIKE</stp>
        <stp>.SPXW240129C1200</stp>
        <tr r="L10" s="7"/>
      </tp>
      <tp>
        <v>3200</v>
        <stp/>
        <stp>STRIKE</stp>
        <stp>.SPXW240129C3200</stp>
        <tr r="L20" s="7"/>
      </tp>
      <tp>
        <v>2200</v>
        <stp/>
        <stp>STRIKE</stp>
        <stp>.SPXW240129C2200</stp>
        <tr r="L15" s="7"/>
      </tp>
      <tp>
        <v>5200</v>
        <stp/>
        <stp>STRIKE</stp>
        <stp>.SPXW240129C5200</stp>
        <tr r="L178" s="7"/>
      </tp>
      <tp>
        <v>4200</v>
        <stp/>
        <stp>STRIKE</stp>
        <stp>.SPXW240129C4200</stp>
        <tr r="L37" s="7"/>
      </tp>
      <tp>
        <v>6200</v>
        <stp/>
        <stp>STRIKE</stp>
        <stp>.SPXW240129C6200</stp>
        <tr r="L187" s="7"/>
      </tp>
      <tp>
        <v>4275</v>
        <stp/>
        <stp>STRIKE</stp>
        <stp>.SPXW240129C4275</stp>
        <tr r="L40" s="7"/>
      </tp>
      <tp>
        <v>5250</v>
        <stp/>
        <stp>STRIKE</stp>
        <stp>.SPXW240129C5250</stp>
        <tr r="L180" s="7"/>
      </tp>
      <tp>
        <v>4250</v>
        <stp/>
        <stp>STRIKE</stp>
        <stp>.SPXW240129C4250</stp>
        <tr r="L39" s="7"/>
      </tp>
      <tp t="s">
        <v>N/A</v>
        <stp/>
        <stp>VOLUME</stp>
        <stp>.SPXW240129C5100</stp>
        <tr r="C174" s="7"/>
      </tp>
      <tp t="s">
        <v>N/A</v>
        <stp/>
        <stp>VOLUME</stp>
        <stp>.SPXW240129C4100</stp>
        <tr r="C33" s="7"/>
      </tp>
      <tp t="s">
        <v>N/A</v>
        <stp/>
        <stp>VOLUME</stp>
        <stp>.SPXW240129P5100</stp>
        <tr r="Q174" s="7"/>
      </tp>
      <tp t="s">
        <v>N/A</v>
        <stp/>
        <stp>VOLUME</stp>
        <stp>.SPXW240129P4100</stp>
        <tr r="Q33" s="7"/>
      </tp>
      <tp t="s">
        <v>2024-01-29</v>
        <stp/>
        <stp>EXPIRATION_DAY</stp>
        <stp>.SPXW240129C4350</stp>
        <tr r="K43" s="7"/>
      </tp>
      <tp t="s">
        <v>N/A</v>
        <stp/>
        <stp>VOLUME</stp>
        <stp>.SPXW240129C5125</stp>
        <tr r="C175" s="7"/>
      </tp>
      <tp t="s">
        <v>N/A</v>
        <stp/>
        <stp>VOLUME</stp>
        <stp>.SPXW240129C4125</stp>
        <tr r="C34" s="7"/>
      </tp>
      <tp t="s">
        <v>N/A</v>
        <stp/>
        <stp>VOLUME</stp>
        <stp>.SPXW240129P5125</stp>
        <tr r="Q175" s="7"/>
      </tp>
      <tp t="s">
        <v>N/A</v>
        <stp/>
        <stp>VOLUME</stp>
        <stp>.SPXW240129P4125</stp>
        <tr r="Q34" s="7"/>
      </tp>
      <tp t="s">
        <v>2024-01-29</v>
        <stp/>
        <stp>EXPIRATION_DAY</stp>
        <stp>.SPXW240129C4370</stp>
        <tr r="K44" s="7"/>
      </tp>
      <tp t="s">
        <v>2024-01-29</v>
        <stp/>
        <stp>EXPIRATION_DAY</stp>
        <stp>.SPXW240129C4375</stp>
        <tr r="K45" s="7"/>
      </tp>
      <tp t="s">
        <v>2024-01-29</v>
        <stp/>
        <stp>EXPIRATION_DAY</stp>
        <stp>.SPXW240129C4300</stp>
        <tr r="K41" s="7"/>
      </tp>
      <tp t="s">
        <v>2024-01-29</v>
        <stp/>
        <stp>EXPIRATION_DAY</stp>
        <stp>.SPXW240129C5300</stp>
        <tr r="K181" s="7"/>
      </tp>
      <tp t="s">
        <v>N/A</v>
        <stp/>
        <stp>VOLUME</stp>
        <stp>.SPXW240129C5150</stp>
        <tr r="C176" s="7"/>
      </tp>
      <tp t="s">
        <v>N/A</v>
        <stp/>
        <stp>VOLUME</stp>
        <stp>.SPXW240129C4150</stp>
        <tr r="C35" s="7"/>
      </tp>
      <tp t="s">
        <v>N/A</v>
        <stp/>
        <stp>VOLUME</stp>
        <stp>.SPXW240129P5150</stp>
        <tr r="Q176" s="7"/>
      </tp>
      <tp t="s">
        <v>N/A</v>
        <stp/>
        <stp>VOLUME</stp>
        <stp>.SPXW240129P4150</stp>
        <tr r="Q35" s="7"/>
      </tp>
      <tp t="s">
        <v>2024-01-29</v>
        <stp/>
        <stp>EXPIRATION_DAY</stp>
        <stp>.SPXW240129C4325</stp>
        <tr r="K42" s="7"/>
      </tp>
      <tp t="s">
        <v>N/A</v>
        <stp/>
        <stp>VOLUME</stp>
        <stp>.SPXW240129C5175</stp>
        <tr r="C177" s="7"/>
      </tp>
      <tp t="s">
        <v>N/A</v>
        <stp/>
        <stp>VOLUME</stp>
        <stp>.SPXW240129C4175</stp>
        <tr r="C36" s="7"/>
      </tp>
      <tp t="s">
        <v>N/A</v>
        <stp/>
        <stp>VOLUME</stp>
        <stp>.SPXW240129P5175</stp>
        <tr r="Q177" s="7"/>
      </tp>
      <tp t="s">
        <v>N/A</v>
        <stp/>
        <stp>VOLUME</stp>
        <stp>.SPXW240129P4175</stp>
        <tr r="Q36" s="7"/>
      </tp>
      <tp t="s">
        <v>2024-01-29</v>
        <stp/>
        <stp>EXPIRATION_DAY</stp>
        <stp>.SPXW240129C4380</stp>
        <tr r="K46" s="7"/>
      </tp>
      <tp t="s">
        <v>2024-01-29</v>
        <stp/>
        <stp>EXPIRATION_DAY</stp>
        <stp>.SPXW240129C4390</stp>
        <tr r="K47" s="7"/>
      </tp>
      <tp>
        <v>4390</v>
        <stp/>
        <stp>STRIKE</stp>
        <stp>.SPXW240129C4390</stp>
        <tr r="L47" s="7"/>
      </tp>
      <tp>
        <v>4380</v>
        <stp/>
        <stp>STRIKE</stp>
        <stp>.SPXW240129C4380</stp>
        <tr r="L46" s="7"/>
      </tp>
      <tp>
        <v>4325</v>
        <stp/>
        <stp>STRIKE</stp>
        <stp>.SPXW240129C4325</stp>
        <tr r="L42" s="7"/>
      </tp>
      <tp>
        <v>5300</v>
        <stp/>
        <stp>STRIKE</stp>
        <stp>.SPXW240129C5300</stp>
        <tr r="L181" s="7"/>
      </tp>
      <tp>
        <v>4300</v>
        <stp/>
        <stp>STRIKE</stp>
        <stp>.SPXW240129C4300</stp>
        <tr r="L41" s="7"/>
      </tp>
      <tp>
        <v>4370</v>
        <stp/>
        <stp>STRIKE</stp>
        <stp>.SPXW240129C4370</stp>
        <tr r="L44" s="7"/>
      </tp>
      <tp>
        <v>4375</v>
        <stp/>
        <stp>STRIKE</stp>
        <stp>.SPXW240129C4375</stp>
        <tr r="L45" s="7"/>
      </tp>
      <tp>
        <v>4350</v>
        <stp/>
        <stp>STRIKE</stp>
        <stp>.SPXW240129C4350</stp>
        <tr r="L43" s="7"/>
      </tp>
      <tp t="s">
        <v>N/A</v>
        <stp/>
        <stp>VOLUME</stp>
        <stp>.SPXW240129C5005</stp>
        <tr r="C161" s="7"/>
      </tp>
      <tp t="s">
        <v>N/A</v>
        <stp/>
        <stp>VOLUME</stp>
        <stp>.SPXW240129C5000</stp>
        <tr r="C160" s="7"/>
      </tp>
      <tp t="s">
        <v>N/A</v>
        <stp/>
        <stp>VOLUME</stp>
        <stp>.SPXW240129C4000</stp>
        <tr r="C31" s="7"/>
      </tp>
      <tp t="s">
        <v>N/A</v>
        <stp/>
        <stp>VOLUME</stp>
        <stp>.SPXW240129C6000</stp>
        <tr r="C186" s="7"/>
      </tp>
      <tp t="s">
        <v>N/A</v>
        <stp/>
        <stp>VOLUME</stp>
        <stp>.SPXW240129C3000</stp>
        <tr r="C19" s="7"/>
      </tp>
      <tp t="s">
        <v>N/A</v>
        <stp/>
        <stp>VOLUME</stp>
        <stp>.SPXW240129C2000</stp>
        <tr r="C14" s="7"/>
      </tp>
      <tp t="s">
        <v>N/A</v>
        <stp/>
        <stp>VOLUME</stp>
        <stp>.SPXW240129P5005</stp>
        <tr r="Q161" s="7"/>
      </tp>
      <tp t="s">
        <v>N/A</v>
        <stp/>
        <stp>VOLUME</stp>
        <stp>.SPXW240129P5000</stp>
        <tr r="Q160" s="7"/>
      </tp>
      <tp t="s">
        <v>N/A</v>
        <stp/>
        <stp>VOLUME</stp>
        <stp>.SPXW240129P4000</stp>
        <tr r="Q31" s="7"/>
      </tp>
      <tp t="s">
        <v>N/A</v>
        <stp/>
        <stp>VOLUME</stp>
        <stp>.SPXW240129P6000</stp>
        <tr r="Q186" s="7"/>
      </tp>
      <tp t="s">
        <v>N/A</v>
        <stp/>
        <stp>VOLUME</stp>
        <stp>.SPXW240129P3000</stp>
        <tr r="Q19" s="7"/>
      </tp>
      <tp t="s">
        <v>N/A</v>
        <stp/>
        <stp>VOLUME</stp>
        <stp>.SPXW240129P2000</stp>
        <tr r="Q14" s="7"/>
      </tp>
      <tp t="s">
        <v>N/A</v>
        <stp/>
        <stp>VOLUME</stp>
        <stp>.SPXW240129C5015</stp>
        <tr r="C163" s="7"/>
      </tp>
      <tp t="s">
        <v>N/A</v>
        <stp/>
        <stp>VOLUME</stp>
        <stp>.SPXW240129C5010</stp>
        <tr r="C162" s="7"/>
      </tp>
      <tp t="s">
        <v>N/A</v>
        <stp/>
        <stp>VOLUME</stp>
        <stp>.SPXW240129P5015</stp>
        <tr r="Q163" s="7"/>
      </tp>
      <tp t="s">
        <v>2024-01-29</v>
        <stp/>
        <stp>EXPIRATION_DAY</stp>
        <stp>.SPXW240129C4250</stp>
        <tr r="K39" s="7"/>
      </tp>
      <tp t="s">
        <v>2024-01-29</v>
        <stp/>
        <stp>EXPIRATION_DAY</stp>
        <stp>.SPXW240129C5250</stp>
        <tr r="K180" s="7"/>
      </tp>
      <tp t="s">
        <v>N/A</v>
        <stp/>
        <stp>VOLUME</stp>
        <stp>.SPXW240129P5010</stp>
        <tr r="Q162" s="7"/>
      </tp>
      <tp t="s">
        <v>N/A</v>
        <stp/>
        <stp>VOLUME</stp>
        <stp>.SPXW240129C5025</stp>
        <tr r="C165" s="7"/>
      </tp>
      <tp t="s">
        <v>N/A</v>
        <stp/>
        <stp>VOLUME</stp>
        <stp>.SPXW240129C5020</stp>
        <tr r="C164" s="7"/>
      </tp>
      <tp t="s">
        <v>N/A</v>
        <stp/>
        <stp>VOLUME</stp>
        <stp>.SPXW240129P5025</stp>
        <tr r="Q165" s="7"/>
      </tp>
      <tp t="s">
        <v>N/A</v>
        <stp/>
        <stp>VOLUME</stp>
        <stp>.SPXW240129P5020</stp>
        <tr r="Q164" s="7"/>
      </tp>
      <tp t="s">
        <v>N/A</v>
        <stp/>
        <stp>VOLUME</stp>
        <stp>.SPXW240129C5035</stp>
        <tr r="C167" s="7"/>
      </tp>
      <tp t="s">
        <v>N/A</v>
        <stp/>
        <stp>VOLUME</stp>
        <stp>.SPXW240129C5030</stp>
        <tr r="C166" s="7"/>
      </tp>
      <tp t="s">
        <v>N/A</v>
        <stp/>
        <stp>VOLUME</stp>
        <stp>.SPXW240129P5035</stp>
        <tr r="Q167" s="7"/>
      </tp>
      <tp t="s">
        <v>2024-01-29</v>
        <stp/>
        <stp>EXPIRATION_DAY</stp>
        <stp>.SPXW240129C4275</stp>
        <tr r="K40" s="7"/>
      </tp>
      <tp t="s">
        <v>N/A</v>
        <stp/>
        <stp>VOLUME</stp>
        <stp>.SPXW240129P5030</stp>
        <tr r="Q166" s="7"/>
      </tp>
      <tp t="s">
        <v>N/A</v>
        <stp/>
        <stp>VOLUME</stp>
        <stp>.SPXW240129C5040</stp>
        <tr r="C168" s="7"/>
      </tp>
      <tp t="s">
        <v>2024-01-29</v>
        <stp/>
        <stp>EXPIRATION_DAY</stp>
        <stp>.SPXW240129C4200</stp>
        <tr r="K37" s="7"/>
      </tp>
      <tp t="s">
        <v>2024-01-29</v>
        <stp/>
        <stp>EXPIRATION_DAY</stp>
        <stp>.SPXW240129C5200</stp>
        <tr r="K178" s="7"/>
      </tp>
      <tp t="s">
        <v>2024-01-29</v>
        <stp/>
        <stp>EXPIRATION_DAY</stp>
        <stp>.SPXW240129C6200</stp>
        <tr r="K187" s="7"/>
      </tp>
      <tp t="s">
        <v>2024-01-29</v>
        <stp/>
        <stp>EXPIRATION_DAY</stp>
        <stp>.SPXW240129C1200</stp>
        <tr r="K10" s="7"/>
      </tp>
      <tp t="s">
        <v>2024-01-29</v>
        <stp/>
        <stp>EXPIRATION_DAY</stp>
        <stp>.SPXW240129C2200</stp>
        <tr r="K15" s="7"/>
      </tp>
      <tp t="s">
        <v>2024-01-29</v>
        <stp/>
        <stp>EXPIRATION_DAY</stp>
        <stp>.SPXW240129C3200</stp>
        <tr r="K20" s="7"/>
      </tp>
      <tp t="s">
        <v>N/A</v>
        <stp/>
        <stp>VOLUME</stp>
        <stp>.SPXW240129P5040</stp>
        <tr r="Q168" s="7"/>
      </tp>
      <tp t="s">
        <v>N/A</v>
        <stp/>
        <stp>VOLUME</stp>
        <stp>.SPXW240129C5050</stp>
        <tr r="C169" s="7"/>
      </tp>
      <tp t="s">
        <v>N/A</v>
        <stp/>
        <stp>VOLUME</stp>
        <stp>.SPXW240129C4050</stp>
        <tr r="C32" s="7"/>
      </tp>
      <tp t="s">
        <v>N/A</v>
        <stp/>
        <stp>VOLUME</stp>
        <stp>.SPXW240129P5050</stp>
        <tr r="Q169" s="7"/>
      </tp>
      <tp t="s">
        <v>N/A</v>
        <stp/>
        <stp>VOLUME</stp>
        <stp>.SPXW240129P4050</stp>
        <tr r="Q32" s="7"/>
      </tp>
      <tp t="s">
        <v>N/A</v>
        <stp/>
        <stp>VOLUME</stp>
        <stp>.SPXW240129C5060</stp>
        <tr r="C170" s="7"/>
      </tp>
      <tp t="s">
        <v>2024-01-29</v>
        <stp/>
        <stp>EXPIRATION_DAY</stp>
        <stp>.SPXW240129C4225</stp>
        <tr r="K38" s="7"/>
      </tp>
      <tp t="s">
        <v>2024-01-29</v>
        <stp/>
        <stp>EXPIRATION_DAY</stp>
        <stp>.SPXW240129C5225</stp>
        <tr r="K179" s="7"/>
      </tp>
      <tp t="s">
        <v>N/A</v>
        <stp/>
        <stp>VOLUME</stp>
        <stp>.SPXW240129P5060</stp>
        <tr r="Q170" s="7"/>
      </tp>
      <tp t="s">
        <v>N/A</v>
        <stp/>
        <stp>VOLUME</stp>
        <stp>.SPXW240129C5075</stp>
        <tr r="C172" s="7"/>
      </tp>
      <tp t="s">
        <v>N/A</v>
        <stp/>
        <stp>VOLUME</stp>
        <stp>.SPXW240129C5070</stp>
        <tr r="C171" s="7"/>
      </tp>
      <tp t="s">
        <v>N/A</v>
        <stp/>
        <stp>VOLUME</stp>
        <stp>.SPXW240129P5075</stp>
        <tr r="Q172" s="7"/>
      </tp>
      <tp t="s">
        <v>N/A</v>
        <stp/>
        <stp>VOLUME</stp>
        <stp>.SPXW240129P5070</stp>
        <tr r="Q171" s="7"/>
      </tp>
      <tp t="s">
        <v>N/A</v>
        <stp/>
        <stp>VOLUME</stp>
        <stp>.SPXW240129C5080</stp>
        <tr r="C173" s="7"/>
      </tp>
      <tp t="s">
        <v>N/A</v>
        <stp/>
        <stp>VOLUME</stp>
        <stp>.SPXW240129P5080</stp>
        <tr r="Q173" s="7"/>
      </tp>
      <tp>
        <v>4490</v>
        <stp/>
        <stp>STRIKE</stp>
        <stp>.SPXW240129C4490</stp>
        <tr r="L59" s="7"/>
      </tp>
      <tp>
        <v>4480</v>
        <stp/>
        <stp>STRIKE</stp>
        <stp>.SPXW240129C4480</stp>
        <tr r="L58" s="7"/>
      </tp>
      <tp>
        <v>4430</v>
        <stp/>
        <stp>STRIKE</stp>
        <stp>.SPXW240129C4430</stp>
        <tr r="L52" s="7"/>
      </tp>
      <tp>
        <v>4420</v>
        <stp/>
        <stp>STRIKE</stp>
        <stp>.SPXW240129C4420</stp>
        <tr r="L50" s="7"/>
      </tp>
      <tp>
        <v>4425</v>
        <stp/>
        <stp>STRIKE</stp>
        <stp>.SPXW240129C4425</stp>
        <tr r="L51" s="7"/>
      </tp>
      <tp>
        <v>4410</v>
        <stp/>
        <stp>STRIKE</stp>
        <stp>.SPXW240129C4410</stp>
        <tr r="L49" s="7"/>
      </tp>
      <tp>
        <v>1400</v>
        <stp/>
        <stp>STRIKE</stp>
        <stp>.SPXW240129C1400</stp>
        <tr r="L11" s="7"/>
      </tp>
      <tp>
        <v>3400</v>
        <stp/>
        <stp>STRIKE</stp>
        <stp>.SPXW240129C3400</stp>
        <tr r="L21" s="7"/>
      </tp>
      <tp>
        <v>2400</v>
        <stp/>
        <stp>STRIKE</stp>
        <stp>.SPXW240129C2400</stp>
        <tr r="L16" s="7"/>
      </tp>
      <tp>
        <v>5400</v>
        <stp/>
        <stp>STRIKE</stp>
        <stp>.SPXW240129C5400</stp>
        <tr r="L182" s="7"/>
      </tp>
      <tp>
        <v>4400</v>
        <stp/>
        <stp>STRIKE</stp>
        <stp>.SPXW240129C4400</stp>
        <tr r="L48" s="7"/>
      </tp>
      <tp>
        <v>4470</v>
        <stp/>
        <stp>STRIKE</stp>
        <stp>.SPXW240129C4470</stp>
        <tr r="L56" s="7"/>
      </tp>
      <tp>
        <v>4475</v>
        <stp/>
        <stp>STRIKE</stp>
        <stp>.SPXW240129C4475</stp>
        <tr r="L57" s="7"/>
      </tp>
      <tp>
        <v>4460</v>
        <stp/>
        <stp>STRIKE</stp>
        <stp>.SPXW240129C4460</stp>
        <tr r="L55" s="7"/>
      </tp>
      <tp>
        <v>4450</v>
        <stp/>
        <stp>STRIKE</stp>
        <stp>.SPXW240129C4450</stp>
        <tr r="L54" s="7"/>
      </tp>
      <tp>
        <v>4440</v>
        <stp/>
        <stp>STRIKE</stp>
        <stp>.SPXW240129C4440</stp>
        <tr r="L53" s="7"/>
      </tp>
      <tp t="s">
        <v>N/A</v>
        <stp/>
        <stp>VOLUME</stp>
        <stp>.SPXW240129C4705</stp>
        <tr r="C101" s="7"/>
      </tp>
      <tp t="s">
        <v>N/A</v>
        <stp/>
        <stp>VOLUME</stp>
        <stp>.SPXW240129C4700</stp>
        <tr r="C100" s="7"/>
      </tp>
      <tp t="s">
        <v>N/A</v>
        <stp/>
        <stp>VOLUME</stp>
        <stp>.SPXW240129C3700</stp>
        <tr r="C25" s="7"/>
      </tp>
      <tp t="s">
        <v>N/A</v>
        <stp/>
        <stp>VOLUME</stp>
        <stp>.SPXW240129P4705</stp>
        <tr r="Q101" s="7"/>
      </tp>
      <tp t="s">
        <v>2024-01-29</v>
        <stp/>
        <stp>EXPIRATION_DAY</stp>
        <stp>.SPXW240129C4540</stp>
        <tr r="K68" s="7"/>
      </tp>
      <tp t="s">
        <v>2024-01-29</v>
        <stp/>
        <stp>EXPIRATION_DAY</stp>
        <stp>.SPXW240129C4545</stp>
        <tr r="K69" s="7"/>
      </tp>
      <tp t="s">
        <v>N/A</v>
        <stp/>
        <stp>VOLUME</stp>
        <stp>.SPXW240129P4700</stp>
        <tr r="Q100" s="7"/>
      </tp>
      <tp t="s">
        <v>N/A</v>
        <stp/>
        <stp>VOLUME</stp>
        <stp>.SPXW240129P3700</stp>
        <tr r="Q25" s="7"/>
      </tp>
      <tp t="s">
        <v>N/A</v>
        <stp/>
        <stp>VOLUME</stp>
        <stp>.SPXW240129C4715</stp>
        <tr r="C103" s="7"/>
      </tp>
      <tp t="s">
        <v>N/A</v>
        <stp/>
        <stp>VOLUME</stp>
        <stp>.SPXW240129C4710</stp>
        <tr r="C102" s="7"/>
      </tp>
      <tp t="s">
        <v>N/A</v>
        <stp/>
        <stp>VOLUME</stp>
        <stp>.SPXW240129P4715</stp>
        <tr r="Q103" s="7"/>
      </tp>
      <tp t="s">
        <v>2024-01-29</v>
        <stp/>
        <stp>EXPIRATION_DAY</stp>
        <stp>.SPXW240129C4550</stp>
        <tr r="K70" s="7"/>
      </tp>
      <tp t="s">
        <v>2024-01-29</v>
        <stp/>
        <stp>EXPIRATION_DAY</stp>
        <stp>.SPXW240129C4555</stp>
        <tr r="K71" s="7"/>
      </tp>
      <tp t="s">
        <v>N/A</v>
        <stp/>
        <stp>VOLUME</stp>
        <stp>.SPXW240129P4710</stp>
        <tr r="Q102" s="7"/>
      </tp>
      <tp t="s">
        <v>N/A</v>
        <stp/>
        <stp>VOLUME</stp>
        <stp>.SPXW240129C4725</stp>
        <tr r="C105" s="7"/>
      </tp>
      <tp t="s">
        <v>N/A</v>
        <stp/>
        <stp>VOLUME</stp>
        <stp>.SPXW240129C4720</stp>
        <tr r="C104" s="7"/>
      </tp>
      <tp t="s">
        <v>N/A</v>
        <stp/>
        <stp>VOLUME</stp>
        <stp>.SPXW240129P4725</stp>
        <tr r="Q105" s="7"/>
      </tp>
      <tp t="s">
        <v>2024-01-29</v>
        <stp/>
        <stp>EXPIRATION_DAY</stp>
        <stp>.SPXW240129C4560</stp>
        <tr r="K72" s="7"/>
      </tp>
      <tp t="s">
        <v>2024-01-29</v>
        <stp/>
        <stp>EXPIRATION_DAY</stp>
        <stp>.SPXW240129C4565</stp>
        <tr r="K73" s="7"/>
      </tp>
      <tp t="s">
        <v>N/A</v>
        <stp/>
        <stp>VOLUME</stp>
        <stp>.SPXW240129P4720</stp>
        <tr r="Q104" s="7"/>
      </tp>
      <tp t="s">
        <v>N/A</v>
        <stp/>
        <stp>VOLUME</stp>
        <stp>.SPXW240129C4735</stp>
        <tr r="C107" s="7"/>
      </tp>
      <tp t="s">
        <v>N/A</v>
        <stp/>
        <stp>VOLUME</stp>
        <stp>.SPXW240129C4730</stp>
        <tr r="C106" s="7"/>
      </tp>
      <tp t="s">
        <v>N/A</v>
        <stp/>
        <stp>VOLUME</stp>
        <stp>.SPXW240129P4735</stp>
        <tr r="Q107" s="7"/>
      </tp>
      <tp t="s">
        <v>2024-01-29</v>
        <stp/>
        <stp>EXPIRATION_DAY</stp>
        <stp>.SPXW240129C4570</stp>
        <tr r="K74" s="7"/>
      </tp>
      <tp t="s">
        <v>2024-01-29</v>
        <stp/>
        <stp>EXPIRATION_DAY</stp>
        <stp>.SPXW240129C4575</stp>
        <tr r="K75" s="7"/>
      </tp>
      <tp t="s">
        <v>N/A</v>
        <stp/>
        <stp>VOLUME</stp>
        <stp>.SPXW240129P4730</stp>
        <tr r="Q106" s="7"/>
      </tp>
      <tp t="s">
        <v>N/A</v>
        <stp/>
        <stp>VOLUME</stp>
        <stp>.SPXW240129C4745</stp>
        <tr r="C109" s="7"/>
      </tp>
      <tp t="s">
        <v>N/A</v>
        <stp/>
        <stp>VOLUME</stp>
        <stp>.SPXW240129C4740</stp>
        <tr r="C108" s="7"/>
      </tp>
      <tp t="s">
        <v>N/A</v>
        <stp/>
        <stp>VOLUME</stp>
        <stp>.SPXW240129P4745</stp>
        <tr r="Q109" s="7"/>
      </tp>
      <tp t="s">
        <v>2024-01-29</v>
        <stp/>
        <stp>EXPIRATION_DAY</stp>
        <stp>.SPXW240129C4500</stp>
        <tr r="K60" s="7"/>
      </tp>
      <tp t="s">
        <v>2024-01-29</v>
        <stp/>
        <stp>EXPIRATION_DAY</stp>
        <stp>.SPXW240129C5500</stp>
        <tr r="K183" s="7"/>
      </tp>
      <tp t="s">
        <v>2024-01-29</v>
        <stp/>
        <stp>EXPIRATION_DAY</stp>
        <stp>.SPXW240129C3500</stp>
        <tr r="K22" s="7"/>
      </tp>
      <tp t="s">
        <v>2024-01-29</v>
        <stp/>
        <stp>EXPIRATION_DAY</stp>
        <stp>.SPXW240129C4505</stp>
        <tr r="K61" s="7"/>
      </tp>
      <tp t="s">
        <v>N/A</v>
        <stp/>
        <stp>VOLUME</stp>
        <stp>.SPXW240129P4740</stp>
        <tr r="Q108" s="7"/>
      </tp>
      <tp t="s">
        <v>N/A</v>
        <stp/>
        <stp>VOLUME</stp>
        <stp>.SPXW240129C4755</stp>
        <tr r="C111" s="7"/>
      </tp>
      <tp t="s">
        <v>N/A</v>
        <stp/>
        <stp>VOLUME</stp>
        <stp>.SPXW240129C4750</stp>
        <tr r="C110" s="7"/>
      </tp>
      <tp t="s">
        <v>N/A</v>
        <stp/>
        <stp>VOLUME</stp>
        <stp>.SPXW240129C3750</stp>
        <tr r="C26" s="7"/>
      </tp>
      <tp t="s">
        <v>N/A</v>
        <stp/>
        <stp>VOLUME</stp>
        <stp>.SPXW240129P4755</stp>
        <tr r="Q111" s="7"/>
      </tp>
      <tp t="s">
        <v>2024-01-29</v>
        <stp/>
        <stp>EXPIRATION_DAY</stp>
        <stp>.SPXW240129C4510</stp>
        <tr r="K62" s="7"/>
      </tp>
      <tp t="s">
        <v>2024-01-29</v>
        <stp/>
        <stp>EXPIRATION_DAY</stp>
        <stp>.SPXW240129C4515</stp>
        <tr r="K63" s="7"/>
      </tp>
      <tp t="s">
        <v>N/A</v>
        <stp/>
        <stp>VOLUME</stp>
        <stp>.SPXW240129P4750</stp>
        <tr r="Q110" s="7"/>
      </tp>
      <tp t="s">
        <v>N/A</v>
        <stp/>
        <stp>VOLUME</stp>
        <stp>.SPXW240129P3750</stp>
        <tr r="Q26" s="7"/>
      </tp>
      <tp t="s">
        <v>N/A</v>
        <stp/>
        <stp>VOLUME</stp>
        <stp>.SPXW240129C4765</stp>
        <tr r="C113" s="7"/>
      </tp>
      <tp t="s">
        <v>N/A</v>
        <stp/>
        <stp>VOLUME</stp>
        <stp>.SPXW240129C4760</stp>
        <tr r="C112" s="7"/>
      </tp>
      <tp t="s">
        <v>N/A</v>
        <stp/>
        <stp>VOLUME</stp>
        <stp>.SPXW240129P4765</stp>
        <tr r="Q113" s="7"/>
      </tp>
      <tp t="s">
        <v>2024-01-29</v>
        <stp/>
        <stp>EXPIRATION_DAY</stp>
        <stp>.SPXW240129C4520</stp>
        <tr r="K64" s="7"/>
      </tp>
      <tp t="s">
        <v>2024-01-29</v>
        <stp/>
        <stp>EXPIRATION_DAY</stp>
        <stp>.SPXW240129C4525</stp>
        <tr r="K65" s="7"/>
      </tp>
      <tp t="s">
        <v>N/A</v>
        <stp/>
        <stp>VOLUME</stp>
        <stp>.SPXW240129P4760</stp>
        <tr r="Q112" s="7"/>
      </tp>
      <tp t="s">
        <v>N/A</v>
        <stp/>
        <stp>VOLUME</stp>
        <stp>.SPXW240129C4775</stp>
        <tr r="C115" s="7"/>
      </tp>
      <tp t="s">
        <v>N/A</v>
        <stp/>
        <stp>VOLUME</stp>
        <stp>.SPXW240129C4770</stp>
        <tr r="C114" s="7"/>
      </tp>
      <tp t="s">
        <v>N/A</v>
        <stp/>
        <stp>VOLUME</stp>
        <stp>.SPXW240129P4775</stp>
        <tr r="Q115" s="7"/>
      </tp>
      <tp t="s">
        <v>2024-01-29</v>
        <stp/>
        <stp>EXPIRATION_DAY</stp>
        <stp>.SPXW240129C4530</stp>
        <tr r="K66" s="7"/>
      </tp>
      <tp t="s">
        <v>2024-01-29</v>
        <stp/>
        <stp>EXPIRATION_DAY</stp>
        <stp>.SPXW240129C4535</stp>
        <tr r="K67" s="7"/>
      </tp>
      <tp t="s">
        <v>N/A</v>
        <stp/>
        <stp>VOLUME</stp>
        <stp>.SPXW240129P4770</stp>
        <tr r="Q114" s="7"/>
      </tp>
      <tp t="s">
        <v>N/A</v>
        <stp/>
        <stp>VOLUME</stp>
        <stp>.SPXW240129C4785</stp>
        <tr r="C117" s="7"/>
      </tp>
      <tp t="s">
        <v>N/A</v>
        <stp/>
        <stp>VOLUME</stp>
        <stp>.SPXW240129C4780</stp>
        <tr r="C116" s="7"/>
      </tp>
      <tp t="s">
        <v>N/A</v>
        <stp/>
        <stp>VOLUME</stp>
        <stp>.SPXW240129P4785</stp>
        <tr r="Q117" s="7"/>
      </tp>
      <tp t="s">
        <v>N/A</v>
        <stp/>
        <stp>VOLUME</stp>
        <stp>.SPXW240129P4780</stp>
        <tr r="Q116" s="7"/>
      </tp>
      <tp t="s">
        <v>N/A</v>
        <stp/>
        <stp>VOLUME</stp>
        <stp>.SPXW240129C4795</stp>
        <tr r="C119" s="7"/>
      </tp>
      <tp t="s">
        <v>N/A</v>
        <stp/>
        <stp>VOLUME</stp>
        <stp>.SPXW240129C4790</stp>
        <tr r="C118" s="7"/>
      </tp>
      <tp t="s">
        <v>N/A</v>
        <stp/>
        <stp>VOLUME</stp>
        <stp>.SPXW240129P4795</stp>
        <tr r="Q119" s="7"/>
      </tp>
      <tp t="s">
        <v>N/A</v>
        <stp/>
        <stp>VOLUME</stp>
        <stp>.SPXW240129P4790</stp>
        <tr r="Q118" s="7"/>
      </tp>
      <tp t="s">
        <v>2024-01-29</v>
        <stp/>
        <stp>EXPIRATION_DAY</stp>
        <stp>.SPXW240129C4580</stp>
        <tr r="K76" s="7"/>
      </tp>
      <tp t="s">
        <v>2024-01-29</v>
        <stp/>
        <stp>EXPIRATION_DAY</stp>
        <stp>.SPXW240129C4585</stp>
        <tr r="K77" s="7"/>
      </tp>
      <tp t="s">
        <v>2024-01-29</v>
        <stp/>
        <stp>EXPIRATION_DAY</stp>
        <stp>.SPXW240129C4590</stp>
        <tr r="K78" s="7"/>
      </tp>
      <tp t="s">
        <v>2024-01-29</v>
        <stp/>
        <stp>EXPIRATION_DAY</stp>
        <stp>.SPXW240129C4595</stp>
        <tr r="K79" s="7"/>
      </tp>
      <tp>
        <v>4590</v>
        <stp/>
        <stp>STRIKE</stp>
        <stp>.SPXW240129C4590</stp>
        <tr r="L78" s="7"/>
      </tp>
      <tp>
        <v>4595</v>
        <stp/>
        <stp>STRIKE</stp>
        <stp>.SPXW240129C4595</stp>
        <tr r="L79" s="7"/>
      </tp>
      <tp>
        <v>4580</v>
        <stp/>
        <stp>STRIKE</stp>
        <stp>.SPXW240129C4580</stp>
        <tr r="L76" s="7"/>
      </tp>
      <tp>
        <v>4585</v>
        <stp/>
        <stp>STRIKE</stp>
        <stp>.SPXW240129C4585</stp>
        <tr r="L77" s="7"/>
      </tp>
      <tp>
        <v>4530</v>
        <stp/>
        <stp>STRIKE</stp>
        <stp>.SPXW240129C4530</stp>
        <tr r="L66" s="7"/>
      </tp>
      <tp>
        <v>4535</v>
        <stp/>
        <stp>STRIKE</stp>
        <stp>.SPXW240129C4535</stp>
        <tr r="L67" s="7"/>
      </tp>
      <tp>
        <v>4520</v>
        <stp/>
        <stp>STRIKE</stp>
        <stp>.SPXW240129C4520</stp>
        <tr r="L64" s="7"/>
      </tp>
      <tp>
        <v>4525</v>
        <stp/>
        <stp>STRIKE</stp>
        <stp>.SPXW240129C4525</stp>
        <tr r="L65" s="7"/>
      </tp>
      <tp>
        <v>4510</v>
        <stp/>
        <stp>STRIKE</stp>
        <stp>.SPXW240129C4510</stp>
        <tr r="L62" s="7"/>
      </tp>
      <tp>
        <v>4515</v>
        <stp/>
        <stp>STRIKE</stp>
        <stp>.SPXW240129C4515</stp>
        <tr r="L63" s="7"/>
      </tp>
      <tp>
        <v>3500</v>
        <stp/>
        <stp>STRIKE</stp>
        <stp>.SPXW240129C3500</stp>
        <tr r="L22" s="7"/>
      </tp>
      <tp>
        <v>5500</v>
        <stp/>
        <stp>STRIKE</stp>
        <stp>.SPXW240129C5500</stp>
        <tr r="L183" s="7"/>
      </tp>
      <tp>
        <v>4500</v>
        <stp/>
        <stp>STRIKE</stp>
        <stp>.SPXW240129C4500</stp>
        <tr r="L60" s="7"/>
      </tp>
      <tp>
        <v>4505</v>
        <stp/>
        <stp>STRIKE</stp>
        <stp>.SPXW240129C4505</stp>
        <tr r="L61" s="7"/>
      </tp>
      <tp>
        <v>4570</v>
        <stp/>
        <stp>STRIKE</stp>
        <stp>.SPXW240129C4570</stp>
        <tr r="L74" s="7"/>
      </tp>
      <tp>
        <v>4575</v>
        <stp/>
        <stp>STRIKE</stp>
        <stp>.SPXW240129C4575</stp>
        <tr r="L75" s="7"/>
      </tp>
      <tp>
        <v>4560</v>
        <stp/>
        <stp>STRIKE</stp>
        <stp>.SPXW240129C4560</stp>
        <tr r="L72" s="7"/>
      </tp>
      <tp>
        <v>4565</v>
        <stp/>
        <stp>STRIKE</stp>
        <stp>.SPXW240129C4565</stp>
        <tr r="L73" s="7"/>
      </tp>
      <tp>
        <v>4550</v>
        <stp/>
        <stp>STRIKE</stp>
        <stp>.SPXW240129C4550</stp>
        <tr r="L70" s="7"/>
      </tp>
      <tp>
        <v>4555</v>
        <stp/>
        <stp>STRIKE</stp>
        <stp>.SPXW240129C4555</stp>
        <tr r="L71" s="7"/>
      </tp>
      <tp>
        <v>4540</v>
        <stp/>
        <stp>STRIKE</stp>
        <stp>.SPXW240129C4540</stp>
        <tr r="L68" s="7"/>
      </tp>
      <tp>
        <v>4545</v>
        <stp/>
        <stp>STRIKE</stp>
        <stp>.SPXW240129C4545</stp>
        <tr r="L69" s="7"/>
      </tp>
      <tp t="s">
        <v>N/A</v>
        <stp/>
        <stp>VOLUME</stp>
        <stp>.SPXW240129C4605</stp>
        <tr r="C81" s="7"/>
      </tp>
      <tp t="s">
        <v>N/A</v>
        <stp/>
        <stp>VOLUME</stp>
        <stp>.SPXW240129C5600</stp>
        <tr r="C184" s="7"/>
      </tp>
      <tp t="s">
        <v>N/A</v>
        <stp/>
        <stp>VOLUME</stp>
        <stp>.SPXW240129C4600</stp>
        <tr r="C80" s="7"/>
      </tp>
      <tp t="s">
        <v>N/A</v>
        <stp/>
        <stp>VOLUME</stp>
        <stp>.SPXW240129C1600</stp>
        <tr r="C12" s="7"/>
      </tp>
      <tp t="s">
        <v>N/A</v>
        <stp/>
        <stp>VOLUME</stp>
        <stp>.SPXW240129C3600</stp>
        <tr r="C23" s="7"/>
      </tp>
      <tp t="s">
        <v>N/A</v>
        <stp/>
        <stp>VOLUME</stp>
        <stp>.SPXW240129C2600</stp>
        <tr r="C17" s="7"/>
      </tp>
      <tp t="s">
        <v>N/A</v>
        <stp/>
        <stp>VOLUME</stp>
        <stp>.SPXW240129P4605</stp>
        <tr r="Q81" s="7"/>
      </tp>
      <tp t="s">
        <v>2024-01-29</v>
        <stp/>
        <stp>EXPIRATION_DAY</stp>
        <stp>.SPXW240129C4440</stp>
        <tr r="K53" s="7"/>
      </tp>
      <tp t="s">
        <v>N/A</v>
        <stp/>
        <stp>VOLUME</stp>
        <stp>.SPXW240129P5600</stp>
        <tr r="Q184" s="7"/>
      </tp>
      <tp t="s">
        <v>N/A</v>
        <stp/>
        <stp>VOLUME</stp>
        <stp>.SPXW240129P4600</stp>
        <tr r="Q80" s="7"/>
      </tp>
      <tp t="s">
        <v>N/A</v>
        <stp/>
        <stp>VOLUME</stp>
        <stp>.SPXW240129P1600</stp>
        <tr r="Q12" s="7"/>
      </tp>
      <tp t="s">
        <v>N/A</v>
        <stp/>
        <stp>VOLUME</stp>
        <stp>.SPXW240129P3600</stp>
        <tr r="Q23" s="7"/>
      </tp>
      <tp t="s">
        <v>N/A</v>
        <stp/>
        <stp>VOLUME</stp>
        <stp>.SPXW240129P2600</stp>
        <tr r="Q17" s="7"/>
      </tp>
      <tp t="s">
        <v>N/A</v>
        <stp/>
        <stp>VOLUME</stp>
        <stp>.SPXW240129C4615</stp>
        <tr r="C83" s="7"/>
      </tp>
      <tp t="s">
        <v>N/A</v>
        <stp/>
        <stp>VOLUME</stp>
        <stp>.SPXW240129C4610</stp>
        <tr r="C82" s="7"/>
      </tp>
      <tp t="s">
        <v>N/A</v>
        <stp/>
        <stp>VOLUME</stp>
        <stp>.SPXW240129P4615</stp>
        <tr r="Q83" s="7"/>
      </tp>
      <tp t="s">
        <v>2024-01-29</v>
        <stp/>
        <stp>EXPIRATION_DAY</stp>
        <stp>.SPXW240129C4450</stp>
        <tr r="K54" s="7"/>
      </tp>
      <tp t="s">
        <v>N/A</v>
        <stp/>
        <stp>VOLUME</stp>
        <stp>.SPXW240129P4610</stp>
        <tr r="Q82" s="7"/>
      </tp>
      <tp t="s">
        <v>N/A</v>
        <stp/>
        <stp>VOLUME</stp>
        <stp>.SPXW240129C4625</stp>
        <tr r="C85" s="7"/>
      </tp>
      <tp t="s">
        <v>N/A</v>
        <stp/>
        <stp>VOLUME</stp>
        <stp>.SPXW240129C4620</stp>
        <tr r="C84" s="7"/>
      </tp>
      <tp t="s">
        <v>N/A</v>
        <stp/>
        <stp>VOLUME</stp>
        <stp>.SPXW240129P4625</stp>
        <tr r="Q85" s="7"/>
      </tp>
      <tp t="s">
        <v>2024-01-29</v>
        <stp/>
        <stp>EXPIRATION_DAY</stp>
        <stp>.SPXW240129C4460</stp>
        <tr r="K55" s="7"/>
      </tp>
      <tp t="s">
        <v>N/A</v>
        <stp/>
        <stp>VOLUME</stp>
        <stp>.SPXW240129P4620</stp>
        <tr r="Q84" s="7"/>
      </tp>
      <tp t="s">
        <v>N/A</v>
        <stp/>
        <stp>VOLUME</stp>
        <stp>.SPXW240129C4635</stp>
        <tr r="C87" s="7"/>
      </tp>
      <tp t="s">
        <v>N/A</v>
        <stp/>
        <stp>VOLUME</stp>
        <stp>.SPXW240129C4630</stp>
        <tr r="C86" s="7"/>
      </tp>
      <tp t="s">
        <v>N/A</v>
        <stp/>
        <stp>VOLUME</stp>
        <stp>.SPXW240129P4635</stp>
        <tr r="Q87" s="7"/>
      </tp>
      <tp t="s">
        <v>2024-01-29</v>
        <stp/>
        <stp>EXPIRATION_DAY</stp>
        <stp>.SPXW240129C4470</stp>
        <tr r="K56" s="7"/>
      </tp>
      <tp t="s">
        <v>2024-01-29</v>
        <stp/>
        <stp>EXPIRATION_DAY</stp>
        <stp>.SPXW240129C4475</stp>
        <tr r="K57" s="7"/>
      </tp>
      <tp t="s">
        <v>N/A</v>
        <stp/>
        <stp>VOLUME</stp>
        <stp>.SPXW240129P4630</stp>
        <tr r="Q86" s="7"/>
      </tp>
      <tp t="s">
        <v>N/A</v>
        <stp/>
        <stp>VOLUME</stp>
        <stp>.SPXW240129C4645</stp>
        <tr r="C89" s="7"/>
      </tp>
      <tp t="s">
        <v>N/A</v>
        <stp/>
        <stp>VOLUME</stp>
        <stp>.SPXW240129C4640</stp>
        <tr r="C88" s="7"/>
      </tp>
      <tp t="s">
        <v>N/A</v>
        <stp/>
        <stp>VOLUME</stp>
        <stp>.SPXW240129P4645</stp>
        <tr r="Q89" s="7"/>
      </tp>
      <tp t="s">
        <v>2024-01-29</v>
        <stp/>
        <stp>EXPIRATION_DAY</stp>
        <stp>.SPXW240129C4400</stp>
        <tr r="K48" s="7"/>
      </tp>
      <tp t="s">
        <v>2024-01-29</v>
        <stp/>
        <stp>EXPIRATION_DAY</stp>
        <stp>.SPXW240129C5400</stp>
        <tr r="K182" s="7"/>
      </tp>
      <tp t="s">
        <v>2024-01-29</v>
        <stp/>
        <stp>EXPIRATION_DAY</stp>
        <stp>.SPXW240129C1400</stp>
        <tr r="K11" s="7"/>
      </tp>
      <tp t="s">
        <v>2024-01-29</v>
        <stp/>
        <stp>EXPIRATION_DAY</stp>
        <stp>.SPXW240129C2400</stp>
        <tr r="K16" s="7"/>
      </tp>
      <tp t="s">
        <v>2024-01-29</v>
        <stp/>
        <stp>EXPIRATION_DAY</stp>
        <stp>.SPXW240129C3400</stp>
        <tr r="K21" s="7"/>
      </tp>
      <tp t="s">
        <v>N/A</v>
        <stp/>
        <stp>VOLUME</stp>
        <stp>.SPXW240129P4640</stp>
        <tr r="Q88" s="7"/>
      </tp>
      <tp t="s">
        <v>N/A</v>
        <stp/>
        <stp>VOLUME</stp>
        <stp>.SPXW240129C4655</stp>
        <tr r="C91" s="7"/>
      </tp>
      <tp t="s">
        <v>N/A</v>
        <stp/>
        <stp>VOLUME</stp>
        <stp>.SPXW240129C4650</stp>
        <tr r="C90" s="7"/>
      </tp>
      <tp t="s">
        <v>N/A</v>
        <stp/>
        <stp>VOLUME</stp>
        <stp>.SPXW240129C3650</stp>
        <tr r="C24" s="7"/>
      </tp>
      <tp t="s">
        <v>N/A</v>
        <stp/>
        <stp>VOLUME</stp>
        <stp>.SPXW240129P4655</stp>
        <tr r="Q91" s="7"/>
      </tp>
      <tp t="s">
        <v>2024-01-29</v>
        <stp/>
        <stp>EXPIRATION_DAY</stp>
        <stp>.SPXW240129C4410</stp>
        <tr r="K49" s="7"/>
      </tp>
      <tp t="s">
        <v>N/A</v>
        <stp/>
        <stp>VOLUME</stp>
        <stp>.SPXW240129P4650</stp>
        <tr r="Q90" s="7"/>
      </tp>
      <tp t="s">
        <v>N/A</v>
        <stp/>
        <stp>VOLUME</stp>
        <stp>.SPXW240129P3650</stp>
        <tr r="Q24" s="7"/>
      </tp>
      <tp t="s">
        <v>N/A</v>
        <stp/>
        <stp>VOLUME</stp>
        <stp>.SPXW240129C4665</stp>
        <tr r="C93" s="7"/>
      </tp>
      <tp t="s">
        <v>N/A</v>
        <stp/>
        <stp>VOLUME</stp>
        <stp>.SPXW240129C4660</stp>
        <tr r="C92" s="7"/>
      </tp>
      <tp t="s">
        <v>N/A</v>
        <stp/>
        <stp>VOLUME</stp>
        <stp>.SPXW240129P4665</stp>
        <tr r="Q93" s="7"/>
      </tp>
      <tp t="s">
        <v>2024-01-29</v>
        <stp/>
        <stp>EXPIRATION_DAY</stp>
        <stp>.SPXW240129C4420</stp>
        <tr r="K50" s="7"/>
      </tp>
      <tp t="s">
        <v>2024-01-29</v>
        <stp/>
        <stp>EXPIRATION_DAY</stp>
        <stp>.SPXW240129C4425</stp>
        <tr r="K51" s="7"/>
      </tp>
      <tp t="s">
        <v>N/A</v>
        <stp/>
        <stp>VOLUME</stp>
        <stp>.SPXW240129P4660</stp>
        <tr r="Q92" s="7"/>
      </tp>
      <tp t="s">
        <v>N/A</v>
        <stp/>
        <stp>VOLUME</stp>
        <stp>.SPXW240129C4675</stp>
        <tr r="C95" s="7"/>
      </tp>
      <tp t="s">
        <v>N/A</v>
        <stp/>
        <stp>VOLUME</stp>
        <stp>.SPXW240129C4670</stp>
        <tr r="C94" s="7"/>
      </tp>
      <tp t="s">
        <v>N/A</v>
        <stp/>
        <stp>VOLUME</stp>
        <stp>.SPXW240129P4675</stp>
        <tr r="Q95" s="7"/>
      </tp>
      <tp t="s">
        <v>2024-01-29</v>
        <stp/>
        <stp>EXPIRATION_DAY</stp>
        <stp>.SPXW240129C4430</stp>
        <tr r="K52" s="7"/>
      </tp>
      <tp t="s">
        <v>N/A</v>
        <stp/>
        <stp>VOLUME</stp>
        <stp>.SPXW240129P4670</stp>
        <tr r="Q94" s="7"/>
      </tp>
      <tp t="s">
        <v>N/A</v>
        <stp/>
        <stp>VOLUME</stp>
        <stp>.SPXW240129C4685</stp>
        <tr r="C97" s="7"/>
      </tp>
      <tp t="s">
        <v>N/A</v>
        <stp/>
        <stp>VOLUME</stp>
        <stp>.SPXW240129C4680</stp>
        <tr r="C96" s="7"/>
      </tp>
      <tp t="s">
        <v>N/A</v>
        <stp/>
        <stp>VOLUME</stp>
        <stp>.SPXW240129P4685</stp>
        <tr r="Q97" s="7"/>
      </tp>
      <tp t="s">
        <v>N/A</v>
        <stp/>
        <stp>VOLUME</stp>
        <stp>.SPXW240129P4680</stp>
        <tr r="Q96" s="7"/>
      </tp>
      <tp t="s">
        <v>N/A</v>
        <stp/>
        <stp>VOLUME</stp>
        <stp>.SPXW240129C4695</stp>
        <tr r="C99" s="7"/>
      </tp>
      <tp t="s">
        <v>N/A</v>
        <stp/>
        <stp>VOLUME</stp>
        <stp>.SPXW240129C4690</stp>
        <tr r="C98" s="7"/>
      </tp>
      <tp t="s">
        <v>N/A</v>
        <stp/>
        <stp>VOLUME</stp>
        <stp>.SPXW240129P4695</stp>
        <tr r="Q99" s="7"/>
      </tp>
      <tp t="s">
        <v>N/A</v>
        <stp/>
        <stp>VOLUME</stp>
        <stp>.SPXW240129P4690</stp>
        <tr r="Q98" s="7"/>
      </tp>
      <tp t="s">
        <v>2024-01-29</v>
        <stp/>
        <stp>EXPIRATION_DAY</stp>
        <stp>.SPXW240129C4480</stp>
        <tr r="K58" s="7"/>
      </tp>
      <tp t="s">
        <v>2024-01-29</v>
        <stp/>
        <stp>EXPIRATION_DAY</stp>
        <stp>.SPXW240129C4490</stp>
        <tr r="K59" s="7"/>
      </tp>
      <tp>
        <v>4690</v>
        <stp/>
        <stp>STRIKE</stp>
        <stp>.SPXW240129C4690</stp>
        <tr r="L98" s="7"/>
      </tp>
      <tp>
        <v>4695</v>
        <stp/>
        <stp>STRIKE</stp>
        <stp>.SPXW240129C4695</stp>
        <tr r="L99" s="7"/>
      </tp>
      <tp>
        <v>4680</v>
        <stp/>
        <stp>STRIKE</stp>
        <stp>.SPXW240129C4680</stp>
        <tr r="L96" s="7"/>
      </tp>
      <tp>
        <v>4685</v>
        <stp/>
        <stp>STRIKE</stp>
        <stp>.SPXW240129C4685</stp>
        <tr r="L97" s="7"/>
      </tp>
      <tp>
        <v>4630</v>
        <stp/>
        <stp>STRIKE</stp>
        <stp>.SPXW240129C4630</stp>
        <tr r="L86" s="7"/>
      </tp>
      <tp>
        <v>4635</v>
        <stp/>
        <stp>STRIKE</stp>
        <stp>.SPXW240129C4635</stp>
        <tr r="L87" s="7"/>
      </tp>
      <tp>
        <v>4620</v>
        <stp/>
        <stp>STRIKE</stp>
        <stp>.SPXW240129C4620</stp>
        <tr r="L84" s="7"/>
      </tp>
      <tp>
        <v>4625</v>
        <stp/>
        <stp>STRIKE</stp>
        <stp>.SPXW240129C4625</stp>
        <tr r="L85" s="7"/>
      </tp>
      <tp>
        <v>4610</v>
        <stp/>
        <stp>STRIKE</stp>
        <stp>.SPXW240129C4610</stp>
        <tr r="L82" s="7"/>
      </tp>
      <tp>
        <v>4615</v>
        <stp/>
        <stp>STRIKE</stp>
        <stp>.SPXW240129C4615</stp>
        <tr r="L83" s="7"/>
      </tp>
      <tp>
        <v>1600</v>
        <stp/>
        <stp>STRIKE</stp>
        <stp>.SPXW240129C1600</stp>
        <tr r="L12" s="7"/>
      </tp>
      <tp>
        <v>3600</v>
        <stp/>
        <stp>STRIKE</stp>
        <stp>.SPXW240129C3600</stp>
        <tr r="L23" s="7"/>
      </tp>
      <tp>
        <v>2600</v>
        <stp/>
        <stp>STRIKE</stp>
        <stp>.SPXW240129C2600</stp>
        <tr r="L17" s="7"/>
      </tp>
      <tp>
        <v>5600</v>
        <stp/>
        <stp>STRIKE</stp>
        <stp>.SPXW240129C5600</stp>
        <tr r="L184" s="7"/>
      </tp>
      <tp>
        <v>4600</v>
        <stp/>
        <stp>STRIKE</stp>
        <stp>.SPXW240129C4600</stp>
        <tr r="L80" s="7"/>
      </tp>
      <tp>
        <v>4605</v>
        <stp/>
        <stp>STRIKE</stp>
        <stp>.SPXW240129C4605</stp>
        <tr r="L81" s="7"/>
      </tp>
      <tp>
        <v>4670</v>
        <stp/>
        <stp>STRIKE</stp>
        <stp>.SPXW240129C4670</stp>
        <tr r="L94" s="7"/>
      </tp>
      <tp>
        <v>4675</v>
        <stp/>
        <stp>STRIKE</stp>
        <stp>.SPXW240129C4675</stp>
        <tr r="L95" s="7"/>
      </tp>
      <tp>
        <v>4660</v>
        <stp/>
        <stp>STRIKE</stp>
        <stp>.SPXW240129C4660</stp>
        <tr r="L92" s="7"/>
      </tp>
      <tp>
        <v>4665</v>
        <stp/>
        <stp>STRIKE</stp>
        <stp>.SPXW240129C4665</stp>
        <tr r="L93" s="7"/>
      </tp>
      <tp>
        <v>3650</v>
        <stp/>
        <stp>STRIKE</stp>
        <stp>.SPXW240129C3650</stp>
        <tr r="L24" s="7"/>
      </tp>
      <tp>
        <v>4650</v>
        <stp/>
        <stp>STRIKE</stp>
        <stp>.SPXW240129C4650</stp>
        <tr r="L90" s="7"/>
      </tp>
      <tp>
        <v>4655</v>
        <stp/>
        <stp>STRIKE</stp>
        <stp>.SPXW240129C4655</stp>
        <tr r="L91" s="7"/>
      </tp>
      <tp>
        <v>4640</v>
        <stp/>
        <stp>STRIKE</stp>
        <stp>.SPXW240129C4640</stp>
        <tr r="L88" s="7"/>
      </tp>
      <tp>
        <v>4645</v>
        <stp/>
        <stp>STRIKE</stp>
        <stp>.SPXW240129C4645</stp>
        <tr r="L89" s="7"/>
      </tp>
      <tp t="s">
        <v>N/A</v>
        <stp/>
        <stp>VOLUME</stp>
        <stp>.SPXW240129C4505</stp>
        <tr r="C61" s="7"/>
      </tp>
      <tp t="s">
        <v>N/A</v>
        <stp/>
        <stp>VOLUME</stp>
        <stp>.SPXW240129C5500</stp>
        <tr r="C183" s="7"/>
      </tp>
      <tp t="s">
        <v>N/A</v>
        <stp/>
        <stp>VOLUME</stp>
        <stp>.SPXW240129C4500</stp>
        <tr r="C60" s="7"/>
      </tp>
      <tp t="s">
        <v>N/A</v>
        <stp/>
        <stp>VOLUME</stp>
        <stp>.SPXW240129C3500</stp>
        <tr r="C22" s="7"/>
      </tp>
      <tp t="s">
        <v>N/A</v>
        <stp/>
        <stp>VOLUME</stp>
        <stp>.SPXW240129P4505</stp>
        <tr r="Q61" s="7"/>
      </tp>
      <tp t="s">
        <v>2024-01-29</v>
        <stp/>
        <stp>EXPIRATION_DAY</stp>
        <stp>.SPXW240129C4740</stp>
        <tr r="K108" s="7"/>
      </tp>
      <tp t="s">
        <v>2024-01-29</v>
        <stp/>
        <stp>EXPIRATION_DAY</stp>
        <stp>.SPXW240129C4745</stp>
        <tr r="K109" s="7"/>
      </tp>
      <tp t="s">
        <v>N/A</v>
        <stp/>
        <stp>VOLUME</stp>
        <stp>.SPXW240129P5500</stp>
        <tr r="Q183" s="7"/>
      </tp>
      <tp t="s">
        <v>N/A</v>
        <stp/>
        <stp>VOLUME</stp>
        <stp>.SPXW240129P4500</stp>
        <tr r="Q60" s="7"/>
      </tp>
      <tp t="s">
        <v>N/A</v>
        <stp/>
        <stp>VOLUME</stp>
        <stp>.SPXW240129P3500</stp>
        <tr r="Q22" s="7"/>
      </tp>
      <tp t="s">
        <v>N/A</v>
        <stp/>
        <stp>VOLUME</stp>
        <stp>.SPXW240129C4515</stp>
        <tr r="C63" s="7"/>
      </tp>
      <tp t="s">
        <v>N/A</v>
        <stp/>
        <stp>VOLUME</stp>
        <stp>.SPXW240129C4510</stp>
        <tr r="C62" s="7"/>
      </tp>
      <tp t="s">
        <v>N/A</v>
        <stp/>
        <stp>VOLUME</stp>
        <stp>.SPXW240129P4515</stp>
        <tr r="Q63" s="7"/>
      </tp>
      <tp t="s">
        <v>2024-01-29</v>
        <stp/>
        <stp>EXPIRATION_DAY</stp>
        <stp>.SPXW240129C4750</stp>
        <tr r="K110" s="7"/>
      </tp>
      <tp t="s">
        <v>2024-01-29</v>
        <stp/>
        <stp>EXPIRATION_DAY</stp>
        <stp>.SPXW240129C3750</stp>
        <tr r="K26" s="7"/>
      </tp>
      <tp t="s">
        <v>2024-01-29</v>
        <stp/>
        <stp>EXPIRATION_DAY</stp>
        <stp>.SPXW240129C4755</stp>
        <tr r="K111" s="7"/>
      </tp>
      <tp t="s">
        <v>N/A</v>
        <stp/>
        <stp>VOLUME</stp>
        <stp>.SPXW240129P4510</stp>
        <tr r="Q62" s="7"/>
      </tp>
      <tp t="s">
        <v>N/A</v>
        <stp/>
        <stp>VOLUME</stp>
        <stp>.SPXW240129C4525</stp>
        <tr r="C65" s="7"/>
      </tp>
      <tp t="s">
        <v>N/A</v>
        <stp/>
        <stp>VOLUME</stp>
        <stp>.SPXW240129C4520</stp>
        <tr r="C64" s="7"/>
      </tp>
      <tp t="s">
        <v>N/A</v>
        <stp/>
        <stp>VOLUME</stp>
        <stp>.SPXW240129P4525</stp>
        <tr r="Q65" s="7"/>
      </tp>
      <tp t="s">
        <v>2024-01-29</v>
        <stp/>
        <stp>EXPIRATION_DAY</stp>
        <stp>.SPXW240129C4760</stp>
        <tr r="K112" s="7"/>
      </tp>
      <tp t="s">
        <v>2024-01-29</v>
        <stp/>
        <stp>EXPIRATION_DAY</stp>
        <stp>.SPXW240129C4765</stp>
        <tr r="K113" s="7"/>
      </tp>
      <tp t="s">
        <v>N/A</v>
        <stp/>
        <stp>VOLUME</stp>
        <stp>.SPXW240129P4520</stp>
        <tr r="Q64" s="7"/>
      </tp>
      <tp t="s">
        <v>N/A</v>
        <stp/>
        <stp>VOLUME</stp>
        <stp>.SPXW240129C4535</stp>
        <tr r="C67" s="7"/>
      </tp>
      <tp t="s">
        <v>N/A</v>
        <stp/>
        <stp>VOLUME</stp>
        <stp>.SPXW240129C4530</stp>
        <tr r="C66" s="7"/>
      </tp>
      <tp t="s">
        <v>N/A</v>
        <stp/>
        <stp>VOLUME</stp>
        <stp>.SPXW240129P4535</stp>
        <tr r="Q67" s="7"/>
      </tp>
      <tp t="s">
        <v>2024-01-29</v>
        <stp/>
        <stp>EXPIRATION_DAY</stp>
        <stp>.SPXW240129C4770</stp>
        <tr r="K114" s="7"/>
      </tp>
      <tp t="s">
        <v>2024-01-29</v>
        <stp/>
        <stp>EXPIRATION_DAY</stp>
        <stp>.SPXW240129C4775</stp>
        <tr r="K115" s="7"/>
      </tp>
      <tp t="s">
        <v>N/A</v>
        <stp/>
        <stp>VOLUME</stp>
        <stp>.SPXW240129P4530</stp>
        <tr r="Q66" s="7"/>
      </tp>
      <tp t="s">
        <v>N/A</v>
        <stp/>
        <stp>VOLUME</stp>
        <stp>.SPXW240129C4545</stp>
        <tr r="C69" s="7"/>
      </tp>
      <tp t="s">
        <v>N/A</v>
        <stp/>
        <stp>VOLUME</stp>
        <stp>.SPXW240129C4540</stp>
        <tr r="C68" s="7"/>
      </tp>
      <tp t="s">
        <v>N/A</v>
        <stp/>
        <stp>VOLUME</stp>
        <stp>.SPXW240129P4545</stp>
        <tr r="Q69" s="7"/>
      </tp>
      <tp t="s">
        <v>2024-01-29</v>
        <stp/>
        <stp>EXPIRATION_DAY</stp>
        <stp>.SPXW240129C4700</stp>
        <tr r="K100" s="7"/>
      </tp>
      <tp t="s">
        <v>2024-01-29</v>
        <stp/>
        <stp>EXPIRATION_DAY</stp>
        <stp>.SPXW240129C3700</stp>
        <tr r="K25" s="7"/>
      </tp>
      <tp t="s">
        <v>2024-01-29</v>
        <stp/>
        <stp>EXPIRATION_DAY</stp>
        <stp>.SPXW240129C4705</stp>
        <tr r="K101" s="7"/>
      </tp>
      <tp t="s">
        <v>N/A</v>
        <stp/>
        <stp>VOLUME</stp>
        <stp>.SPXW240129P4540</stp>
        <tr r="Q68" s="7"/>
      </tp>
      <tp t="s">
        <v>N/A</v>
        <stp/>
        <stp>VOLUME</stp>
        <stp>.SPXW240129C4555</stp>
        <tr r="C71" s="7"/>
      </tp>
      <tp t="s">
        <v>N/A</v>
        <stp/>
        <stp>VOLUME</stp>
        <stp>.SPXW240129C4550</stp>
        <tr r="C70" s="7"/>
      </tp>
      <tp t="s">
        <v>N/A</v>
        <stp/>
        <stp>VOLUME</stp>
        <stp>.SPXW240129P4555</stp>
        <tr r="Q71" s="7"/>
      </tp>
      <tp t="s">
        <v>2024-01-29</v>
        <stp/>
        <stp>EXPIRATION_DAY</stp>
        <stp>.SPXW240129C4710</stp>
        <tr r="K102" s="7"/>
      </tp>
      <tp t="s">
        <v>2024-01-29</v>
        <stp/>
        <stp>EXPIRATION_DAY</stp>
        <stp>.SPXW240129C4715</stp>
        <tr r="K103" s="7"/>
      </tp>
      <tp t="s">
        <v>N/A</v>
        <stp/>
        <stp>VOLUME</stp>
        <stp>.SPXW240129P4550</stp>
        <tr r="Q70" s="7"/>
      </tp>
      <tp t="s">
        <v>N/A</v>
        <stp/>
        <stp>VOLUME</stp>
        <stp>.SPXW240129C4565</stp>
        <tr r="C73" s="7"/>
      </tp>
      <tp t="s">
        <v>N/A</v>
        <stp/>
        <stp>VOLUME</stp>
        <stp>.SPXW240129C4560</stp>
        <tr r="C72" s="7"/>
      </tp>
      <tp t="s">
        <v>N/A</v>
        <stp/>
        <stp>VOLUME</stp>
        <stp>.SPXW240129P4565</stp>
        <tr r="Q73" s="7"/>
      </tp>
      <tp t="s">
        <v>2024-01-29</v>
        <stp/>
        <stp>EXPIRATION_DAY</stp>
        <stp>.SPXW240129C4720</stp>
        <tr r="K104" s="7"/>
      </tp>
      <tp t="s">
        <v>2024-01-29</v>
        <stp/>
        <stp>EXPIRATION_DAY</stp>
        <stp>.SPXW240129C4725</stp>
        <tr r="K105" s="7"/>
      </tp>
      <tp t="s">
        <v>N/A</v>
        <stp/>
        <stp>VOLUME</stp>
        <stp>.SPXW240129P4560</stp>
        <tr r="Q72" s="7"/>
      </tp>
      <tp t="s">
        <v>N/A</v>
        <stp/>
        <stp>VOLUME</stp>
        <stp>.SPXW240129C4575</stp>
        <tr r="C75" s="7"/>
      </tp>
      <tp t="s">
        <v>N/A</v>
        <stp/>
        <stp>VOLUME</stp>
        <stp>.SPXW240129C4570</stp>
        <tr r="C74" s="7"/>
      </tp>
      <tp t="s">
        <v>N/A</v>
        <stp/>
        <stp>VOLUME</stp>
        <stp>.SPXW240129P4575</stp>
        <tr r="Q75" s="7"/>
      </tp>
      <tp t="s">
        <v>2024-01-29</v>
        <stp/>
        <stp>EXPIRATION_DAY</stp>
        <stp>.SPXW240129C4730</stp>
        <tr r="K106" s="7"/>
      </tp>
      <tp t="s">
        <v>2024-01-29</v>
        <stp/>
        <stp>EXPIRATION_DAY</stp>
        <stp>.SPXW240129C4735</stp>
        <tr r="K107" s="7"/>
      </tp>
      <tp t="s">
        <v>N/A</v>
        <stp/>
        <stp>VOLUME</stp>
        <stp>.SPXW240129P4570</stp>
        <tr r="Q74" s="7"/>
      </tp>
      <tp t="s">
        <v>N/A</v>
        <stp/>
        <stp>VOLUME</stp>
        <stp>.SPXW240129C4585</stp>
        <tr r="C77" s="7"/>
      </tp>
      <tp t="s">
        <v>N/A</v>
        <stp/>
        <stp>VOLUME</stp>
        <stp>.SPXW240129C4580</stp>
        <tr r="C76" s="7"/>
      </tp>
      <tp t="s">
        <v>N/A</v>
        <stp/>
        <stp>VOLUME</stp>
        <stp>.SPXW240129P4585</stp>
        <tr r="Q77" s="7"/>
      </tp>
      <tp t="s">
        <v>N/A</v>
        <stp/>
        <stp>VOLUME</stp>
        <stp>.SPXW240129P4580</stp>
        <tr r="Q76" s="7"/>
      </tp>
      <tp t="s">
        <v>N/A</v>
        <stp/>
        <stp>VOLUME</stp>
        <stp>.SPXW240129C4595</stp>
        <tr r="C79" s="7"/>
      </tp>
      <tp t="s">
        <v>N/A</v>
        <stp/>
        <stp>VOLUME</stp>
        <stp>.SPXW240129C4590</stp>
        <tr r="C78" s="7"/>
      </tp>
      <tp t="s">
        <v>N/A</v>
        <stp/>
        <stp>VOLUME</stp>
        <stp>.SPXW240129P4595</stp>
        <tr r="Q79" s="7"/>
      </tp>
      <tp t="s">
        <v>N/A</v>
        <stp/>
        <stp>VOLUME</stp>
        <stp>.SPXW240129P4590</stp>
        <tr r="Q78" s="7"/>
      </tp>
      <tp t="s">
        <v>2024-01-29</v>
        <stp/>
        <stp>EXPIRATION_DAY</stp>
        <stp>.SPXW240129C4780</stp>
        <tr r="K116" s="7"/>
      </tp>
      <tp t="s">
        <v>2024-01-29</v>
        <stp/>
        <stp>EXPIRATION_DAY</stp>
        <stp>.SPXW240129C4785</stp>
        <tr r="K117" s="7"/>
      </tp>
      <tp t="s">
        <v>2024-01-29</v>
        <stp/>
        <stp>EXPIRATION_DAY</stp>
        <stp>.SPXW240129C4790</stp>
        <tr r="K118" s="7"/>
      </tp>
      <tp t="s">
        <v>2024-01-29</v>
        <stp/>
        <stp>EXPIRATION_DAY</stp>
        <stp>.SPXW240129C4795</stp>
        <tr r="K119" s="7"/>
      </tp>
      <tp>
        <v>4790</v>
        <stp/>
        <stp>STRIKE</stp>
        <stp>.SPXW240129C4790</stp>
        <tr r="L118" s="7"/>
      </tp>
      <tp>
        <v>4795</v>
        <stp/>
        <stp>STRIKE</stp>
        <stp>.SPXW240129C4795</stp>
        <tr r="L119" s="7"/>
      </tp>
      <tp>
        <v>4780</v>
        <stp/>
        <stp>STRIKE</stp>
        <stp>.SPXW240129C4780</stp>
        <tr r="L116" s="7"/>
      </tp>
      <tp>
        <v>4785</v>
        <stp/>
        <stp>STRIKE</stp>
        <stp>.SPXW240129C4785</stp>
        <tr r="L117" s="7"/>
      </tp>
      <tp>
        <v>4730</v>
        <stp/>
        <stp>STRIKE</stp>
        <stp>.SPXW240129C4730</stp>
        <tr r="L106" s="7"/>
      </tp>
      <tp>
        <v>4735</v>
        <stp/>
        <stp>STRIKE</stp>
        <stp>.SPXW240129C4735</stp>
        <tr r="L107" s="7"/>
      </tp>
      <tp>
        <v>4720</v>
        <stp/>
        <stp>STRIKE</stp>
        <stp>.SPXW240129C4720</stp>
        <tr r="L104" s="7"/>
      </tp>
      <tp>
        <v>4725</v>
        <stp/>
        <stp>STRIKE</stp>
        <stp>.SPXW240129C4725</stp>
        <tr r="L105" s="7"/>
      </tp>
      <tp>
        <v>4710</v>
        <stp/>
        <stp>STRIKE</stp>
        <stp>.SPXW240129C4710</stp>
        <tr r="L102" s="7"/>
      </tp>
      <tp>
        <v>4715</v>
        <stp/>
        <stp>STRIKE</stp>
        <stp>.SPXW240129C4715</stp>
        <tr r="L103" s="7"/>
      </tp>
      <tp>
        <v>3700</v>
        <stp/>
        <stp>STRIKE</stp>
        <stp>.SPXW240129C3700</stp>
        <tr r="L25" s="7"/>
      </tp>
      <tp>
        <v>4700</v>
        <stp/>
        <stp>STRIKE</stp>
        <stp>.SPXW240129C4700</stp>
        <tr r="L100" s="7"/>
      </tp>
      <tp>
        <v>4705</v>
        <stp/>
        <stp>STRIKE</stp>
        <stp>.SPXW240129C4705</stp>
        <tr r="L101" s="7"/>
      </tp>
      <tp>
        <v>4770</v>
        <stp/>
        <stp>STRIKE</stp>
        <stp>.SPXW240129C4770</stp>
        <tr r="L114" s="7"/>
      </tp>
      <tp>
        <v>4775</v>
        <stp/>
        <stp>STRIKE</stp>
        <stp>.SPXW240129C4775</stp>
        <tr r="L115" s="7"/>
      </tp>
      <tp>
        <v>4760</v>
        <stp/>
        <stp>STRIKE</stp>
        <stp>.SPXW240129C4760</stp>
        <tr r="L112" s="7"/>
      </tp>
      <tp>
        <v>4765</v>
        <stp/>
        <stp>STRIKE</stp>
        <stp>.SPXW240129C4765</stp>
        <tr r="L113" s="7"/>
      </tp>
      <tp>
        <v>3750</v>
        <stp/>
        <stp>STRIKE</stp>
        <stp>.SPXW240129C3750</stp>
        <tr r="L26" s="7"/>
      </tp>
      <tp>
        <v>4750</v>
        <stp/>
        <stp>STRIKE</stp>
        <stp>.SPXW240129C4750</stp>
        <tr r="L110" s="7"/>
      </tp>
      <tp>
        <v>4755</v>
        <stp/>
        <stp>STRIKE</stp>
        <stp>.SPXW240129C4755</stp>
        <tr r="L111" s="7"/>
      </tp>
      <tp>
        <v>4740</v>
        <stp/>
        <stp>STRIKE</stp>
        <stp>.SPXW240129C4740</stp>
        <tr r="L108" s="7"/>
      </tp>
      <tp>
        <v>4745</v>
        <stp/>
        <stp>STRIKE</stp>
        <stp>.SPXW240129C4745</stp>
        <tr r="L109" s="7"/>
      </tp>
      <tp t="s">
        <v>N/A</v>
        <stp/>
        <stp>VOLUME</stp>
        <stp>.SPXW240129C5400</stp>
        <tr r="C182" s="7"/>
      </tp>
      <tp t="s">
        <v>N/A</v>
        <stp/>
        <stp>VOLUME</stp>
        <stp>.SPXW240129C4400</stp>
        <tr r="C48" s="7"/>
      </tp>
      <tp t="s">
        <v>N/A</v>
        <stp/>
        <stp>VOLUME</stp>
        <stp>.SPXW240129C1400</stp>
        <tr r="C11" s="7"/>
      </tp>
      <tp t="s">
        <v>N/A</v>
        <stp/>
        <stp>VOLUME</stp>
        <stp>.SPXW240129C3400</stp>
        <tr r="C21" s="7"/>
      </tp>
      <tp t="s">
        <v>N/A</v>
        <stp/>
        <stp>VOLUME</stp>
        <stp>.SPXW240129C2400</stp>
        <tr r="C16" s="7"/>
      </tp>
      <tp t="s">
        <v>2024-01-29</v>
        <stp/>
        <stp>EXPIRATION_DAY</stp>
        <stp>.SPXW240129C4640</stp>
        <tr r="K88" s="7"/>
      </tp>
      <tp t="s">
        <v>2024-01-29</v>
        <stp/>
        <stp>EXPIRATION_DAY</stp>
        <stp>.SPXW240129C4645</stp>
        <tr r="K89" s="7"/>
      </tp>
      <tp t="s">
        <v>N/A</v>
        <stp/>
        <stp>VOLUME</stp>
        <stp>.SPXW240129P5400</stp>
        <tr r="Q182" s="7"/>
      </tp>
      <tp t="s">
        <v>N/A</v>
        <stp/>
        <stp>VOLUME</stp>
        <stp>.SPXW240129P4400</stp>
        <tr r="Q48" s="7"/>
      </tp>
      <tp t="s">
        <v>N/A</v>
        <stp/>
        <stp>VOLUME</stp>
        <stp>.SPXW240129P1400</stp>
        <tr r="Q11" s="7"/>
      </tp>
      <tp t="s">
        <v>N/A</v>
        <stp/>
        <stp>VOLUME</stp>
        <stp>.SPXW240129P3400</stp>
        <tr r="Q21" s="7"/>
      </tp>
      <tp t="s">
        <v>N/A</v>
        <stp/>
        <stp>VOLUME</stp>
        <stp>.SPXW240129P2400</stp>
        <tr r="Q16" s="7"/>
      </tp>
      <tp t="s">
        <v>N/A</v>
        <stp/>
        <stp>VOLUME</stp>
        <stp>.SPXW240129C4410</stp>
        <tr r="C49" s="7"/>
      </tp>
      <tp t="s">
        <v>2024-01-29</v>
        <stp/>
        <stp>EXPIRATION_DAY</stp>
        <stp>.SPXW240129C4650</stp>
        <tr r="K90" s="7"/>
      </tp>
      <tp t="s">
        <v>2024-01-29</v>
        <stp/>
        <stp>EXPIRATION_DAY</stp>
        <stp>.SPXW240129C3650</stp>
        <tr r="K24" s="7"/>
      </tp>
      <tp t="s">
        <v>2024-01-29</v>
        <stp/>
        <stp>EXPIRATION_DAY</stp>
        <stp>.SPXW240129C4655</stp>
        <tr r="K91" s="7"/>
      </tp>
      <tp t="s">
        <v>N/A</v>
        <stp/>
        <stp>VOLUME</stp>
        <stp>.SPXW240129P4410</stp>
        <tr r="Q49" s="7"/>
      </tp>
      <tp t="s">
        <v>N/A</v>
        <stp/>
        <stp>VOLUME</stp>
        <stp>.SPXW240129C4425</stp>
        <tr r="C51" s="7"/>
      </tp>
      <tp t="s">
        <v>N/A</v>
        <stp/>
        <stp>VOLUME</stp>
        <stp>.SPXW240129C4420</stp>
        <tr r="C50" s="7"/>
      </tp>
      <tp t="s">
        <v>N/A</v>
        <stp/>
        <stp>VOLUME</stp>
        <stp>.SPXW240129P4425</stp>
        <tr r="Q51" s="7"/>
      </tp>
      <tp t="s">
        <v>2024-01-29</v>
        <stp/>
        <stp>EXPIRATION_DAY</stp>
        <stp>.SPXW240129C4660</stp>
        <tr r="K92" s="7"/>
      </tp>
      <tp t="s">
        <v>2024-01-29</v>
        <stp/>
        <stp>EXPIRATION_DAY</stp>
        <stp>.SPXW240129C4665</stp>
        <tr r="K93" s="7"/>
      </tp>
      <tp t="s">
        <v>N/A</v>
        <stp/>
        <stp>VOLUME</stp>
        <stp>.SPXW240129P4420</stp>
        <tr r="Q50" s="7"/>
      </tp>
      <tp t="s">
        <v>N/A</v>
        <stp/>
        <stp>VOLUME</stp>
        <stp>.SPXW240129C4430</stp>
        <tr r="C52" s="7"/>
      </tp>
      <tp t="s">
        <v>2024-01-29</v>
        <stp/>
        <stp>EXPIRATION_DAY</stp>
        <stp>.SPXW240129C4670</stp>
        <tr r="K94" s="7"/>
      </tp>
      <tp t="s">
        <v>2024-01-29</v>
        <stp/>
        <stp>EXPIRATION_DAY</stp>
        <stp>.SPXW240129C4675</stp>
        <tr r="K95" s="7"/>
      </tp>
      <tp t="s">
        <v>N/A</v>
        <stp/>
        <stp>VOLUME</stp>
        <stp>.SPXW240129P4430</stp>
        <tr r="Q52" s="7"/>
      </tp>
      <tp t="s">
        <v>N/A</v>
        <stp/>
        <stp>VOLUME</stp>
        <stp>.SPXW240129C4440</stp>
        <tr r="C53" s="7"/>
      </tp>
      <tp t="s">
        <v>2024-01-29</v>
        <stp/>
        <stp>EXPIRATION_DAY</stp>
        <stp>.SPXW240129C4600</stp>
        <tr r="K80" s="7"/>
      </tp>
      <tp t="s">
        <v>2024-01-29</v>
        <stp/>
        <stp>EXPIRATION_DAY</stp>
        <stp>.SPXW240129C5600</stp>
        <tr r="K184" s="7"/>
      </tp>
      <tp t="s">
        <v>2024-01-29</v>
        <stp/>
        <stp>EXPIRATION_DAY</stp>
        <stp>.SPXW240129C1600</stp>
        <tr r="K12" s="7"/>
      </tp>
      <tp t="s">
        <v>2024-01-29</v>
        <stp/>
        <stp>EXPIRATION_DAY</stp>
        <stp>.SPXW240129C2600</stp>
        <tr r="K17" s="7"/>
      </tp>
      <tp t="s">
        <v>2024-01-29</v>
        <stp/>
        <stp>EXPIRATION_DAY</stp>
        <stp>.SPXW240129C3600</stp>
        <tr r="K23" s="7"/>
      </tp>
      <tp t="s">
        <v>2024-01-29</v>
        <stp/>
        <stp>EXPIRATION_DAY</stp>
        <stp>.SPXW240129C4605</stp>
        <tr r="K81" s="7"/>
      </tp>
      <tp t="s">
        <v>N/A</v>
        <stp/>
        <stp>VOLUME</stp>
        <stp>.SPXW240129P4440</stp>
        <tr r="Q53" s="7"/>
      </tp>
      <tp t="s">
        <v>N/A</v>
        <stp/>
        <stp>VOLUME</stp>
        <stp>.SPXW240129C4450</stp>
        <tr r="C54" s="7"/>
      </tp>
      <tp t="s">
        <v>2024-01-29</v>
        <stp/>
        <stp>EXPIRATION_DAY</stp>
        <stp>.SPXW240129C4610</stp>
        <tr r="K82" s="7"/>
      </tp>
      <tp t="s">
        <v>2024-01-29</v>
        <stp/>
        <stp>EXPIRATION_DAY</stp>
        <stp>.SPXW240129C4615</stp>
        <tr r="K83" s="7"/>
      </tp>
      <tp t="s">
        <v>N/A</v>
        <stp/>
        <stp>VOLUME</stp>
        <stp>.SPXW240129P4450</stp>
        <tr r="Q54" s="7"/>
      </tp>
      <tp t="s">
        <v>N/A</v>
        <stp/>
        <stp>VOLUME</stp>
        <stp>.SPXW240129C4460</stp>
        <tr r="C55" s="7"/>
      </tp>
      <tp t="s">
        <v>2024-01-29</v>
        <stp/>
        <stp>EXPIRATION_DAY</stp>
        <stp>.SPXW240129C4620</stp>
        <tr r="K84" s="7"/>
      </tp>
      <tp t="s">
        <v>2024-01-29</v>
        <stp/>
        <stp>EXPIRATION_DAY</stp>
        <stp>.SPXW240129C4625</stp>
        <tr r="K85" s="7"/>
      </tp>
      <tp t="s">
        <v>N/A</v>
        <stp/>
        <stp>VOLUME</stp>
        <stp>.SPXW240129P4460</stp>
        <tr r="Q55" s="7"/>
      </tp>
      <tp t="s">
        <v>N/A</v>
        <stp/>
        <stp>VOLUME</stp>
        <stp>.SPXW240129C4475</stp>
        <tr r="C57" s="7"/>
      </tp>
      <tp t="s">
        <v>N/A</v>
        <stp/>
        <stp>VOLUME</stp>
        <stp>.SPXW240129C4470</stp>
        <tr r="C56" s="7"/>
      </tp>
      <tp t="s">
        <v>N/A</v>
        <stp/>
        <stp>VOLUME</stp>
        <stp>.SPXW240129P4475</stp>
        <tr r="Q57" s="7"/>
      </tp>
      <tp t="s">
        <v>2024-01-29</v>
        <stp/>
        <stp>EXPIRATION_DAY</stp>
        <stp>.SPXW240129C4630</stp>
        <tr r="K86" s="7"/>
      </tp>
      <tp t="s">
        <v>2024-01-29</v>
        <stp/>
        <stp>EXPIRATION_DAY</stp>
        <stp>.SPXW240129C4635</stp>
        <tr r="K87" s="7"/>
      </tp>
      <tp t="s">
        <v>N/A</v>
        <stp/>
        <stp>VOLUME</stp>
        <stp>.SPXW240129P4470</stp>
        <tr r="Q56" s="7"/>
      </tp>
      <tp t="s">
        <v>N/A</v>
        <stp/>
        <stp>VOLUME</stp>
        <stp>.SPXW240129C4480</stp>
        <tr r="C58" s="7"/>
      </tp>
      <tp t="s">
        <v>N/A</v>
        <stp/>
        <stp>VOLUME</stp>
        <stp>.SPXW240129P4480</stp>
        <tr r="Q58" s="7"/>
      </tp>
      <tp t="s">
        <v>N/A</v>
        <stp/>
        <stp>VOLUME</stp>
        <stp>.SPXW240129C4490</stp>
        <tr r="C59" s="7"/>
      </tp>
      <tp t="s">
        <v>N/A</v>
        <stp/>
        <stp>VOLUME</stp>
        <stp>.SPXW240129P4490</stp>
        <tr r="Q59" s="7"/>
      </tp>
      <tp t="s">
        <v>2024-01-29</v>
        <stp/>
        <stp>EXPIRATION_DAY</stp>
        <stp>.SPXW240129C4680</stp>
        <tr r="K96" s="7"/>
      </tp>
      <tp t="s">
        <v>2024-01-29</v>
        <stp/>
        <stp>EXPIRATION_DAY</stp>
        <stp>.SPXW240129C4685</stp>
        <tr r="K97" s="7"/>
      </tp>
      <tp t="s">
        <v>2024-01-29</v>
        <stp/>
        <stp>EXPIRATION_DAY</stp>
        <stp>.SPXW240129C4690</stp>
        <tr r="K98" s="7"/>
      </tp>
      <tp t="s">
        <v>2024-01-29</v>
        <stp/>
        <stp>EXPIRATION_DAY</stp>
        <stp>.SPXW240129C4695</stp>
        <tr r="K99" s="7"/>
      </tp>
      <tp>
        <v>4890</v>
        <stp/>
        <stp>STRIKE</stp>
        <stp>.SPXW240129C4890</stp>
        <tr r="L138" s="7"/>
      </tp>
      <tp>
        <v>4895</v>
        <stp/>
        <stp>STRIKE</stp>
        <stp>.SPXW240129C4895</stp>
        <tr r="L139" s="7"/>
      </tp>
      <tp>
        <v>4880</v>
        <stp/>
        <stp>STRIKE</stp>
        <stp>.SPXW240129C4880</stp>
        <tr r="L136" s="7"/>
      </tp>
      <tp>
        <v>4885</v>
        <stp/>
        <stp>STRIKE</stp>
        <stp>.SPXW240129C4885</stp>
        <tr r="L137" s="7"/>
      </tp>
      <tp>
        <v>4830</v>
        <stp/>
        <stp>STRIKE</stp>
        <stp>.SPXW240129C4830</stp>
        <tr r="L126" s="7"/>
      </tp>
      <tp>
        <v>4835</v>
        <stp/>
        <stp>STRIKE</stp>
        <stp>.SPXW240129C4835</stp>
        <tr r="L127" s="7"/>
      </tp>
      <tp>
        <v>4820</v>
        <stp/>
        <stp>STRIKE</stp>
        <stp>.SPXW240129C4820</stp>
        <tr r="L124" s="7"/>
      </tp>
      <tp>
        <v>4825</v>
        <stp/>
        <stp>STRIKE</stp>
        <stp>.SPXW240129C4825</stp>
        <tr r="L125" s="7"/>
      </tp>
      <tp>
        <v>4810</v>
        <stp/>
        <stp>STRIKE</stp>
        <stp>.SPXW240129C4810</stp>
        <tr r="L122" s="7"/>
      </tp>
      <tp>
        <v>4815</v>
        <stp/>
        <stp>STRIKE</stp>
        <stp>.SPXW240129C4815</stp>
        <tr r="L123" s="7"/>
      </tp>
      <tp>
        <v>1800</v>
        <stp/>
        <stp>STRIKE</stp>
        <stp>.SPXW240129C1800</stp>
        <tr r="L13" s="7"/>
      </tp>
      <tp>
        <v>3800</v>
        <stp/>
        <stp>STRIKE</stp>
        <stp>.SPXW240129C3800</stp>
        <tr r="L27" s="7"/>
      </tp>
      <tp>
        <v>2800</v>
        <stp/>
        <stp>STRIKE</stp>
        <stp>.SPXW240129C2800</stp>
        <tr r="L18" s="7"/>
      </tp>
      <tp>
        <v>5800</v>
        <stp/>
        <stp>STRIKE</stp>
        <stp>.SPXW240129C5800</stp>
        <tr r="L185" s="7"/>
      </tp>
      <tp>
        <v>4800</v>
        <stp/>
        <stp>STRIKE</stp>
        <stp>.SPXW240129C4800</stp>
        <tr r="L120" s="7"/>
      </tp>
      <tp>
        <v>4805</v>
        <stp/>
        <stp>STRIKE</stp>
        <stp>.SPXW240129C4805</stp>
        <tr r="L121" s="7"/>
      </tp>
      <tp>
        <v>4870</v>
        <stp/>
        <stp>STRIKE</stp>
        <stp>.SPXW240129C4870</stp>
        <tr r="L134" s="7"/>
      </tp>
      <tp>
        <v>4875</v>
        <stp/>
        <stp>STRIKE</stp>
        <stp>.SPXW240129C4875</stp>
        <tr r="L135" s="7"/>
      </tp>
      <tp>
        <v>4860</v>
        <stp/>
        <stp>STRIKE</stp>
        <stp>.SPXW240129C4860</stp>
        <tr r="L132" s="7"/>
      </tp>
      <tp>
        <v>4865</v>
        <stp/>
        <stp>STRIKE</stp>
        <stp>.SPXW240129C4865</stp>
        <tr r="L133" s="7"/>
      </tp>
      <tp>
        <v>3850</v>
        <stp/>
        <stp>STRIKE</stp>
        <stp>.SPXW240129C3850</stp>
        <tr r="L28" s="7"/>
      </tp>
      <tp>
        <v>4850</v>
        <stp/>
        <stp>STRIKE</stp>
        <stp>.SPXW240129C4850</stp>
        <tr r="L130" s="7"/>
      </tp>
      <tp>
        <v>4855</v>
        <stp/>
        <stp>STRIKE</stp>
        <stp>.SPXW240129C4855</stp>
        <tr r="L131" s="7"/>
      </tp>
      <tp>
        <v>4840</v>
        <stp/>
        <stp>STRIKE</stp>
        <stp>.SPXW240129C4840</stp>
        <tr r="L128" s="7"/>
      </tp>
      <tp>
        <v>4845</v>
        <stp/>
        <stp>STRIKE</stp>
        <stp>.SPXW240129C4845</stp>
        <tr r="L129" s="7"/>
      </tp>
      <tp t="s">
        <v>2024-01-29</v>
        <stp/>
        <stp>EXPIRATION_DAY</stp>
        <stp>.SPXW240129C4940</stp>
        <tr r="K148" s="7"/>
      </tp>
      <tp t="s">
        <v>2024-01-29</v>
        <stp/>
        <stp>EXPIRATION_DAY</stp>
        <stp>.SPXW240129C4945</stp>
        <tr r="K149" s="7"/>
      </tp>
      <tp t="s">
        <v>2024-01-29</v>
        <stp/>
        <stp>EXPIRATION_DAY</stp>
        <stp>.SPXW240129C4950</stp>
        <tr r="K150" s="7"/>
      </tp>
      <tp t="s">
        <v>2024-01-29</v>
        <stp/>
        <stp>EXPIRATION_DAY</stp>
        <stp>.SPXW240129C3950</stp>
        <tr r="K30" s="7"/>
      </tp>
      <tp t="s">
        <v>2024-01-29</v>
        <stp/>
        <stp>EXPIRATION_DAY</stp>
        <stp>.SPXW240129C4955</stp>
        <tr r="K151" s="7"/>
      </tp>
      <tp t="s">
        <v>2024-01-29</v>
        <stp/>
        <stp>EXPIRATION_DAY</stp>
        <stp>.SPXW240129C4960</stp>
        <tr r="K152" s="7"/>
      </tp>
      <tp t="s">
        <v>2024-01-29</v>
        <stp/>
        <stp>EXPIRATION_DAY</stp>
        <stp>.SPXW240129C4965</stp>
        <tr r="K153" s="7"/>
      </tp>
      <tp t="s">
        <v>2024-01-29</v>
        <stp/>
        <stp>EXPIRATION_DAY</stp>
        <stp>.SPXW240129C4970</stp>
        <tr r="K154" s="7"/>
      </tp>
      <tp t="s">
        <v>2024-01-29</v>
        <stp/>
        <stp>EXPIRATION_DAY</stp>
        <stp>.SPXW240129C4975</stp>
        <tr r="K155" s="7"/>
      </tp>
      <tp t="s">
        <v>2024-01-29</v>
        <stp/>
        <stp>EXPIRATION_DAY</stp>
        <stp>.SPXW240129C4900</stp>
        <tr r="K140" s="7"/>
      </tp>
      <tp t="s">
        <v>2024-01-29</v>
        <stp/>
        <stp>EXPIRATION_DAY</stp>
        <stp>.SPXW240129C3900</stp>
        <tr r="K29" s="7"/>
      </tp>
      <tp t="s">
        <v>2024-01-29</v>
        <stp/>
        <stp>EXPIRATION_DAY</stp>
        <stp>.SPXW240129C4905</stp>
        <tr r="K141" s="7"/>
      </tp>
      <tp t="s">
        <v>2024-01-29</v>
        <stp/>
        <stp>EXPIRATION_DAY</stp>
        <stp>.SPXW240129C4910</stp>
        <tr r="K142" s="7"/>
      </tp>
      <tp t="s">
        <v>2024-01-29</v>
        <stp/>
        <stp>EXPIRATION_DAY</stp>
        <stp>.SPXW240129C4915</stp>
        <tr r="K143" s="7"/>
      </tp>
      <tp t="s">
        <v>2024-01-29</v>
        <stp/>
        <stp>EXPIRATION_DAY</stp>
        <stp>.SPXW240129C4920</stp>
        <tr r="K144" s="7"/>
      </tp>
      <tp t="s">
        <v>2024-01-29</v>
        <stp/>
        <stp>EXPIRATION_DAY</stp>
        <stp>.SPXW240129C4925</stp>
        <tr r="K145" s="7"/>
      </tp>
      <tp t="s">
        <v>2024-01-29</v>
        <stp/>
        <stp>EXPIRATION_DAY</stp>
        <stp>.SPXW240129C4930</stp>
        <tr r="K146" s="7"/>
      </tp>
      <tp t="s">
        <v>2024-01-29</v>
        <stp/>
        <stp>EXPIRATION_DAY</stp>
        <stp>.SPXW240129C4935</stp>
        <tr r="K147" s="7"/>
      </tp>
      <tp t="s">
        <v>2024-01-29</v>
        <stp/>
        <stp>EXPIRATION_DAY</stp>
        <stp>.SPXW240129C4980</stp>
        <tr r="K156" s="7"/>
      </tp>
      <tp t="s">
        <v>2024-01-29</v>
        <stp/>
        <stp>EXPIRATION_DAY</stp>
        <stp>.SPXW240129C4985</stp>
        <tr r="K157" s="7"/>
      </tp>
      <tp t="s">
        <v>2024-01-29</v>
        <stp/>
        <stp>EXPIRATION_DAY</stp>
        <stp>.SPXW240129C4990</stp>
        <tr r="K158" s="7"/>
      </tp>
      <tp t="s">
        <v>2024-01-29</v>
        <stp/>
        <stp>EXPIRATION_DAY</stp>
        <stp>.SPXW240129C4995</stp>
        <tr r="K159" s="7"/>
      </tp>
      <tp>
        <v>4990</v>
        <stp/>
        <stp>STRIKE</stp>
        <stp>.SPXW240129C4990</stp>
        <tr r="L158" s="7"/>
      </tp>
      <tp>
        <v>4995</v>
        <stp/>
        <stp>STRIKE</stp>
        <stp>.SPXW240129C4995</stp>
        <tr r="L159" s="7"/>
      </tp>
      <tp>
        <v>4980</v>
        <stp/>
        <stp>STRIKE</stp>
        <stp>.SPXW240129C4980</stp>
        <tr r="L156" s="7"/>
      </tp>
      <tp>
        <v>4985</v>
        <stp/>
        <stp>STRIKE</stp>
        <stp>.SPXW240129C4985</stp>
        <tr r="L157" s="7"/>
      </tp>
      <tp>
        <v>4930</v>
        <stp/>
        <stp>STRIKE</stp>
        <stp>.SPXW240129C4930</stp>
        <tr r="L146" s="7"/>
      </tp>
      <tp>
        <v>4935</v>
        <stp/>
        <stp>STRIKE</stp>
        <stp>.SPXW240129C4935</stp>
        <tr r="L147" s="7"/>
      </tp>
      <tp>
        <v>4920</v>
        <stp/>
        <stp>STRIKE</stp>
        <stp>.SPXW240129C4920</stp>
        <tr r="L144" s="7"/>
      </tp>
      <tp>
        <v>4925</v>
        <stp/>
        <stp>STRIKE</stp>
        <stp>.SPXW240129C4925</stp>
        <tr r="L145" s="7"/>
      </tp>
      <tp>
        <v>4910</v>
        <stp/>
        <stp>STRIKE</stp>
        <stp>.SPXW240129C4910</stp>
        <tr r="L142" s="7"/>
      </tp>
      <tp>
        <v>4915</v>
        <stp/>
        <stp>STRIKE</stp>
        <stp>.SPXW240129C4915</stp>
        <tr r="L143" s="7"/>
      </tp>
      <tp>
        <v>3900</v>
        <stp/>
        <stp>STRIKE</stp>
        <stp>.SPXW240129C3900</stp>
        <tr r="L29" s="7"/>
      </tp>
      <tp>
        <v>4900</v>
        <stp/>
        <stp>STRIKE</stp>
        <stp>.SPXW240129C4900</stp>
        <tr r="L140" s="7"/>
      </tp>
      <tp>
        <v>4905</v>
        <stp/>
        <stp>STRIKE</stp>
        <stp>.SPXW240129C4905</stp>
        <tr r="L141" s="7"/>
      </tp>
      <tp>
        <v>4970</v>
        <stp/>
        <stp>STRIKE</stp>
        <stp>.SPXW240129C4970</stp>
        <tr r="L154" s="7"/>
      </tp>
      <tp>
        <v>4975</v>
        <stp/>
        <stp>STRIKE</stp>
        <stp>.SPXW240129C4975</stp>
        <tr r="L155" s="7"/>
      </tp>
      <tp>
        <v>4960</v>
        <stp/>
        <stp>STRIKE</stp>
        <stp>.SPXW240129C4960</stp>
        <tr r="L152" s="7"/>
      </tp>
      <tp>
        <v>4965</v>
        <stp/>
        <stp>STRIKE</stp>
        <stp>.SPXW240129C4965</stp>
        <tr r="L153" s="7"/>
      </tp>
      <tp>
        <v>3950</v>
        <stp/>
        <stp>STRIKE</stp>
        <stp>.SPXW240129C3950</stp>
        <tr r="L30" s="7"/>
      </tp>
      <tp>
        <v>4950</v>
        <stp/>
        <stp>STRIKE</stp>
        <stp>.SPXW240129C4950</stp>
        <tr r="L150" s="7"/>
      </tp>
      <tp>
        <v>4955</v>
        <stp/>
        <stp>STRIKE</stp>
        <stp>.SPXW240129C4955</stp>
        <tr r="L151" s="7"/>
      </tp>
      <tp>
        <v>4940</v>
        <stp/>
        <stp>STRIKE</stp>
        <stp>.SPXW240129C4940</stp>
        <tr r="L148" s="7"/>
      </tp>
      <tp>
        <v>4945</v>
        <stp/>
        <stp>STRIKE</stp>
        <stp>.SPXW240129C4945</stp>
        <tr r="L149" s="7"/>
      </tp>
      <tp t="s">
        <v>2024-01-29</v>
        <stp/>
        <stp>EXPIRATION_DAY</stp>
        <stp>.SPXW240129C4840</stp>
        <tr r="K128" s="7"/>
      </tp>
      <tp t="s">
        <v>2024-01-29</v>
        <stp/>
        <stp>EXPIRATION_DAY</stp>
        <stp>.SPXW240129C4845</stp>
        <tr r="K129" s="7"/>
      </tp>
      <tp t="s">
        <v>2024-01-29</v>
        <stp/>
        <stp>EXPIRATION_DAY</stp>
        <stp>.SPXW240129C4850</stp>
        <tr r="K130" s="7"/>
      </tp>
      <tp t="s">
        <v>2024-01-29</v>
        <stp/>
        <stp>EXPIRATION_DAY</stp>
        <stp>.SPXW240129C3850</stp>
        <tr r="K28" s="7"/>
      </tp>
      <tp t="s">
        <v>2024-01-29</v>
        <stp/>
        <stp>EXPIRATION_DAY</stp>
        <stp>.SPXW240129C4855</stp>
        <tr r="K131" s="7"/>
      </tp>
      <tp t="s">
        <v>2024-01-29</v>
        <stp/>
        <stp>EXPIRATION_DAY</stp>
        <stp>.SPXW240129C4860</stp>
        <tr r="K132" s="7"/>
      </tp>
      <tp t="s">
        <v>2024-01-29</v>
        <stp/>
        <stp>EXPIRATION_DAY</stp>
        <stp>.SPXW240129C4865</stp>
        <tr r="K133" s="7"/>
      </tp>
      <tp t="s">
        <v>2024-01-29</v>
        <stp/>
        <stp>EXPIRATION_DAY</stp>
        <stp>.SPXW240129C4870</stp>
        <tr r="K134" s="7"/>
      </tp>
      <tp t="s">
        <v>2024-01-29</v>
        <stp/>
        <stp>EXPIRATION_DAY</stp>
        <stp>.SPXW240129C4875</stp>
        <tr r="K135" s="7"/>
      </tp>
      <tp t="s">
        <v>2024-01-29</v>
        <stp/>
        <stp>EXPIRATION_DAY</stp>
        <stp>.SPXW240129C4800</stp>
        <tr r="K120" s="7"/>
      </tp>
      <tp t="s">
        <v>2024-01-29</v>
        <stp/>
        <stp>EXPIRATION_DAY</stp>
        <stp>.SPXW240129C5800</stp>
        <tr r="K185" s="7"/>
      </tp>
      <tp t="s">
        <v>2024-01-29</v>
        <stp/>
        <stp>EXPIRATION_DAY</stp>
        <stp>.SPXW240129C1800</stp>
        <tr r="K13" s="7"/>
      </tp>
      <tp t="s">
        <v>2024-01-29</v>
        <stp/>
        <stp>EXPIRATION_DAY</stp>
        <stp>.SPXW240129C2800</stp>
        <tr r="K18" s="7"/>
      </tp>
      <tp t="s">
        <v>2024-01-29</v>
        <stp/>
        <stp>EXPIRATION_DAY</stp>
        <stp>.SPXW240129C3800</stp>
        <tr r="K27" s="7"/>
      </tp>
      <tp t="s">
        <v>2024-01-29</v>
        <stp/>
        <stp>EXPIRATION_DAY</stp>
        <stp>.SPXW240129C4805</stp>
        <tr r="K121" s="7"/>
      </tp>
      <tp t="s">
        <v>2024-01-29</v>
        <stp/>
        <stp>EXPIRATION_DAY</stp>
        <stp>.SPXW240129C4810</stp>
        <tr r="K122" s="7"/>
      </tp>
      <tp t="s">
        <v>2024-01-29</v>
        <stp/>
        <stp>EXPIRATION_DAY</stp>
        <stp>.SPXW240129C4815</stp>
        <tr r="K123" s="7"/>
      </tp>
      <tp t="s">
        <v>2024-01-29</v>
        <stp/>
        <stp>EXPIRATION_DAY</stp>
        <stp>.SPXW240129C4820</stp>
        <tr r="K124" s="7"/>
      </tp>
      <tp t="s">
        <v>2024-01-29</v>
        <stp/>
        <stp>EXPIRATION_DAY</stp>
        <stp>.SPXW240129C4825</stp>
        <tr r="K125" s="7"/>
      </tp>
      <tp t="s">
        <v>2024-01-29</v>
        <stp/>
        <stp>EXPIRATION_DAY</stp>
        <stp>.SPXW240129C4830</stp>
        <tr r="K126" s="7"/>
      </tp>
      <tp t="s">
        <v>2024-01-29</v>
        <stp/>
        <stp>EXPIRATION_DAY</stp>
        <stp>.SPXW240129C4835</stp>
        <tr r="K127" s="7"/>
      </tp>
      <tp t="s">
        <v>2024-01-29</v>
        <stp/>
        <stp>EXPIRATION_DAY</stp>
        <stp>.SPXW240129C4880</stp>
        <tr r="K136" s="7"/>
      </tp>
      <tp t="s">
        <v>2024-01-29</v>
        <stp/>
        <stp>EXPIRATION_DAY</stp>
        <stp>.SPXW240129C4885</stp>
        <tr r="K137" s="7"/>
      </tp>
      <tp t="s">
        <v>2024-01-29</v>
        <stp/>
        <stp>EXPIRATION_DAY</stp>
        <stp>.SPXW240129C4890</stp>
        <tr r="K138" s="7"/>
      </tp>
      <tp t="s">
        <v>2024-01-29</v>
        <stp/>
        <stp>EXPIRATION_DAY</stp>
        <stp>.SPXW240129C4895</stp>
        <tr r="K139" s="7"/>
      </tp>
      <tp t="s">
        <v>N/A</v>
        <stp/>
        <stp>VOLUME</stp>
        <stp>.SPXW240129C4905</stp>
        <tr r="C141" s="7"/>
      </tp>
      <tp t="s">
        <v>N/A</v>
        <stp/>
        <stp>VOLUME</stp>
        <stp>.SPXW240129C4900</stp>
        <tr r="C140" s="7"/>
      </tp>
      <tp t="s">
        <v>N/A</v>
        <stp/>
        <stp>VOLUME</stp>
        <stp>.SPXW240129C3900</stp>
        <tr r="C29" s="7"/>
      </tp>
      <tp t="s">
        <v>N/A</v>
        <stp/>
        <stp>VOLUME</stp>
        <stp>.SPXW240129P4905</stp>
        <tr r="Q141" s="7"/>
      </tp>
      <tp t="s">
        <v>N/A</v>
        <stp/>
        <stp>VOLUME</stp>
        <stp>.SPXW240129P4900</stp>
        <tr r="Q140" s="7"/>
      </tp>
      <tp t="s">
        <v>N/A</v>
        <stp/>
        <stp>VOLUME</stp>
        <stp>.SPXW240129P3900</stp>
        <tr r="Q29" s="7"/>
      </tp>
      <tp t="s">
        <v>N/A</v>
        <stp/>
        <stp>VOLUME</stp>
        <stp>.SPXW240129C4915</stp>
        <tr r="C143" s="7"/>
      </tp>
      <tp t="s">
        <v>N/A</v>
        <stp/>
        <stp>VOLUME</stp>
        <stp>.SPXW240129C4910</stp>
        <tr r="C142" s="7"/>
      </tp>
      <tp t="s">
        <v>N/A</v>
        <stp/>
        <stp>VOLUME</stp>
        <stp>.SPXW240129P4915</stp>
        <tr r="Q143" s="7"/>
      </tp>
      <tp t="s">
        <v>N/A</v>
        <stp/>
        <stp>VOLUME</stp>
        <stp>.SPXW240129P4910</stp>
        <tr r="Q142" s="7"/>
      </tp>
      <tp t="s">
        <v>N/A</v>
        <stp/>
        <stp>VOLUME</stp>
        <stp>.SPXW240129C4925</stp>
        <tr r="C145" s="7"/>
      </tp>
      <tp t="s">
        <v>N/A</v>
        <stp/>
        <stp>VOLUME</stp>
        <stp>.SPXW240129C4920</stp>
        <tr r="C144" s="7"/>
      </tp>
      <tp t="s">
        <v>N/A</v>
        <stp/>
        <stp>VOLUME</stp>
        <stp>.SPXW240129P4925</stp>
        <tr r="Q145" s="7"/>
      </tp>
      <tp t="s">
        <v>N/A</v>
        <stp/>
        <stp>VOLUME</stp>
        <stp>.SPXW240129P4920</stp>
        <tr r="Q144" s="7"/>
      </tp>
      <tp t="s">
        <v>N/A</v>
        <stp/>
        <stp>VOLUME</stp>
        <stp>.SPXW240129C4935</stp>
        <tr r="C147" s="7"/>
      </tp>
      <tp t="s">
        <v>N/A</v>
        <stp/>
        <stp>VOLUME</stp>
        <stp>.SPXW240129C4930</stp>
        <tr r="C146" s="7"/>
      </tp>
      <tp t="s">
        <v>N/A</v>
        <stp/>
        <stp>VOLUME</stp>
        <stp>.SPXW240129P4935</stp>
        <tr r="Q147" s="7"/>
      </tp>
      <tp t="s">
        <v>N/A</v>
        <stp/>
        <stp>VOLUME</stp>
        <stp>.SPXW240129P4930</stp>
        <tr r="Q146" s="7"/>
      </tp>
      <tp t="s">
        <v>N/A</v>
        <stp/>
        <stp>VOLUME</stp>
        <stp>.SPXW240129C4945</stp>
        <tr r="C149" s="7"/>
      </tp>
      <tp t="s">
        <v>N/A</v>
        <stp/>
        <stp>VOLUME</stp>
        <stp>.SPXW240129C4940</stp>
        <tr r="C148" s="7"/>
      </tp>
      <tp t="s">
        <v>N/A</v>
        <stp/>
        <stp>VOLUME</stp>
        <stp>.SPXW240129P4945</stp>
        <tr r="Q149" s="7"/>
      </tp>
      <tp t="s">
        <v>N/A</v>
        <stp/>
        <stp>VOLUME</stp>
        <stp>.SPXW240129P4940</stp>
        <tr r="Q148" s="7"/>
      </tp>
      <tp t="s">
        <v>N/A</v>
        <stp/>
        <stp>VOLUME</stp>
        <stp>.SPXW240129C4955</stp>
        <tr r="C151" s="7"/>
      </tp>
      <tp t="s">
        <v>N/A</v>
        <stp/>
        <stp>VOLUME</stp>
        <stp>.SPXW240129C4950</stp>
        <tr r="C150" s="7"/>
      </tp>
      <tp t="s">
        <v>N/A</v>
        <stp/>
        <stp>VOLUME</stp>
        <stp>.SPXW240129C3950</stp>
        <tr r="C30" s="7"/>
      </tp>
      <tp t="s">
        <v>N/A</v>
        <stp/>
        <stp>VOLUME</stp>
        <stp>.SPXW240129P4955</stp>
        <tr r="Q151" s="7"/>
      </tp>
      <tp t="s">
        <v>N/A</v>
        <stp/>
        <stp>VOLUME</stp>
        <stp>.SPXW240129P4950</stp>
        <tr r="Q150" s="7"/>
      </tp>
      <tp t="s">
        <v>N/A</v>
        <stp/>
        <stp>VOLUME</stp>
        <stp>.SPXW240129P3950</stp>
        <tr r="Q30" s="7"/>
      </tp>
      <tp t="s">
        <v>N/A</v>
        <stp/>
        <stp>VOLUME</stp>
        <stp>.SPXW240129C4965</stp>
        <tr r="C153" s="7"/>
      </tp>
      <tp t="s">
        <v>N/A</v>
        <stp/>
        <stp>VOLUME</stp>
        <stp>.SPXW240129C4960</stp>
        <tr r="C152" s="7"/>
      </tp>
      <tp t="s">
        <v>N/A</v>
        <stp/>
        <stp>VOLUME</stp>
        <stp>.SPXW240129P4965</stp>
        <tr r="Q153" s="7"/>
      </tp>
      <tp t="s">
        <v>N/A</v>
        <stp/>
        <stp>VOLUME</stp>
        <stp>.SPXW240129P4960</stp>
        <tr r="Q152" s="7"/>
      </tp>
      <tp t="s">
        <v>N/A</v>
        <stp/>
        <stp>VOLUME</stp>
        <stp>.SPXW240129C4975</stp>
        <tr r="C155" s="7"/>
      </tp>
      <tp t="s">
        <v>N/A</v>
        <stp/>
        <stp>VOLUME</stp>
        <stp>.SPXW240129C4970</stp>
        <tr r="C154" s="7"/>
      </tp>
      <tp t="s">
        <v>N/A</v>
        <stp/>
        <stp>VOLUME</stp>
        <stp>.SPXW240129P4975</stp>
        <tr r="Q155" s="7"/>
      </tp>
      <tp t="s">
        <v>N/A</v>
        <stp/>
        <stp>VOLUME</stp>
        <stp>.SPXW240129P4970</stp>
        <tr r="Q154" s="7"/>
      </tp>
      <tp t="s">
        <v>N/A</v>
        <stp/>
        <stp>VOLUME</stp>
        <stp>.SPXW240129C4985</stp>
        <tr r="C157" s="7"/>
      </tp>
      <tp t="s">
        <v>N/A</v>
        <stp/>
        <stp>VOLUME</stp>
        <stp>.SPXW240129C4980</stp>
        <tr r="C156" s="7"/>
      </tp>
      <tp t="s">
        <v>N/A</v>
        <stp/>
        <stp>VOLUME</stp>
        <stp>.SPXW240129P4985</stp>
        <tr r="Q157" s="7"/>
      </tp>
      <tp t="s">
        <v>N/A</v>
        <stp/>
        <stp>VOLUME</stp>
        <stp>.SPXW240129P4980</stp>
        <tr r="Q156" s="7"/>
      </tp>
      <tp t="s">
        <v>N/A</v>
        <stp/>
        <stp>VOLUME</stp>
        <stp>.SPXW240129C4995</stp>
        <tr r="C159" s="7"/>
      </tp>
      <tp t="s">
        <v>N/A</v>
        <stp/>
        <stp>VOLUME</stp>
        <stp>.SPXW240129C4990</stp>
        <tr r="C158" s="7"/>
      </tp>
      <tp t="s">
        <v>N/A</v>
        <stp/>
        <stp>VOLUME</stp>
        <stp>.SPXW240129P4995</stp>
        <tr r="Q159" s="7"/>
      </tp>
      <tp t="s">
        <v>N/A</v>
        <stp/>
        <stp>VOLUME</stp>
        <stp>.SPXW240129P4990</stp>
        <tr r="Q158" s="7"/>
      </tp>
      <tp t="s">
        <v>N/A</v>
        <stp/>
        <stp>VOLUME</stp>
        <stp>.SPXW240129C4805</stp>
        <tr r="C121" s="7"/>
      </tp>
      <tp t="s">
        <v>N/A</v>
        <stp/>
        <stp>VOLUME</stp>
        <stp>.SPXW240129C5800</stp>
        <tr r="C185" s="7"/>
      </tp>
      <tp t="s">
        <v>N/A</v>
        <stp/>
        <stp>VOLUME</stp>
        <stp>.SPXW240129C4800</stp>
        <tr r="C120" s="7"/>
      </tp>
      <tp t="s">
        <v>N/A</v>
        <stp/>
        <stp>VOLUME</stp>
        <stp>.SPXW240129C1800</stp>
        <tr r="C13" s="7"/>
      </tp>
      <tp t="s">
        <v>N/A</v>
        <stp/>
        <stp>VOLUME</stp>
        <stp>.SPXW240129C3800</stp>
        <tr r="C27" s="7"/>
      </tp>
      <tp t="s">
        <v>N/A</v>
        <stp/>
        <stp>VOLUME</stp>
        <stp>.SPXW240129C2800</stp>
        <tr r="C18" s="7"/>
      </tp>
      <tp t="s">
        <v>N/A</v>
        <stp/>
        <stp>VOLUME</stp>
        <stp>.SPXW240129P4805</stp>
        <tr r="Q121" s="7"/>
      </tp>
      <tp t="s">
        <v>N/A</v>
        <stp/>
        <stp>VOLUME</stp>
        <stp>.SPXW240129P5800</stp>
        <tr r="Q185" s="7"/>
      </tp>
      <tp t="s">
        <v>N/A</v>
        <stp/>
        <stp>VOLUME</stp>
        <stp>.SPXW240129P4800</stp>
        <tr r="Q120" s="7"/>
      </tp>
      <tp t="s">
        <v>N/A</v>
        <stp/>
        <stp>VOLUME</stp>
        <stp>.SPXW240129P1800</stp>
        <tr r="Q13" s="7"/>
      </tp>
      <tp t="s">
        <v>N/A</v>
        <stp/>
        <stp>VOLUME</stp>
        <stp>.SPXW240129P3800</stp>
        <tr r="Q27" s="7"/>
      </tp>
      <tp t="s">
        <v>N/A</v>
        <stp/>
        <stp>VOLUME</stp>
        <stp>.SPXW240129P2800</stp>
        <tr r="Q18" s="7"/>
      </tp>
      <tp t="s">
        <v>N/A</v>
        <stp/>
        <stp>VOLUME</stp>
        <stp>.SPXW240129C4815</stp>
        <tr r="C123" s="7"/>
      </tp>
      <tp t="s">
        <v>N/A</v>
        <stp/>
        <stp>VOLUME</stp>
        <stp>.SPXW240129C4810</stp>
        <tr r="C122" s="7"/>
      </tp>
      <tp t="s">
        <v>N/A</v>
        <stp/>
        <stp>VOLUME</stp>
        <stp>.SPXW240129P4815</stp>
        <tr r="Q123" s="7"/>
      </tp>
      <tp t="s">
        <v>N/A</v>
        <stp/>
        <stp>VOLUME</stp>
        <stp>.SPXW240129P4810</stp>
        <tr r="Q122" s="7"/>
      </tp>
      <tp t="s">
        <v>N/A</v>
        <stp/>
        <stp>VOLUME</stp>
        <stp>.SPXW240129C4825</stp>
        <tr r="C125" s="7"/>
      </tp>
      <tp t="s">
        <v>N/A</v>
        <stp/>
        <stp>VOLUME</stp>
        <stp>.SPXW240129C4820</stp>
        <tr r="C124" s="7"/>
      </tp>
      <tp t="s">
        <v>N/A</v>
        <stp/>
        <stp>VOLUME</stp>
        <stp>.SPXW240129P4825</stp>
        <tr r="Q125" s="7"/>
      </tp>
      <tp t="s">
        <v>N/A</v>
        <stp/>
        <stp>VOLUME</stp>
        <stp>.SPXW240129P4820</stp>
        <tr r="Q124" s="7"/>
      </tp>
      <tp t="s">
        <v>N/A</v>
        <stp/>
        <stp>VOLUME</stp>
        <stp>.SPXW240129C4835</stp>
        <tr r="C127" s="7"/>
      </tp>
      <tp t="s">
        <v>N/A</v>
        <stp/>
        <stp>VOLUME</stp>
        <stp>.SPXW240129C4830</stp>
        <tr r="C126" s="7"/>
      </tp>
      <tp t="s">
        <v>N/A</v>
        <stp/>
        <stp>VOLUME</stp>
        <stp>.SPXW240129P4835</stp>
        <tr r="Q127" s="7"/>
      </tp>
      <tp t="s">
        <v>N/A</v>
        <stp/>
        <stp>VOLUME</stp>
        <stp>.SPXW240129P4830</stp>
        <tr r="Q126" s="7"/>
      </tp>
      <tp t="s">
        <v>N/A</v>
        <stp/>
        <stp>VOLUME</stp>
        <stp>.SPXW240129C4845</stp>
        <tr r="C129" s="7"/>
      </tp>
      <tp t="s">
        <v>N/A</v>
        <stp/>
        <stp>VOLUME</stp>
        <stp>.SPXW240129C4840</stp>
        <tr r="C128" s="7"/>
      </tp>
      <tp t="s">
        <v>N/A</v>
        <stp/>
        <stp>VOLUME</stp>
        <stp>.SPXW240129P4845</stp>
        <tr r="Q129" s="7"/>
      </tp>
      <tp t="s">
        <v>N/A</v>
        <stp/>
        <stp>VOLUME</stp>
        <stp>.SPXW240129P4840</stp>
        <tr r="Q128" s="7"/>
      </tp>
      <tp t="s">
        <v>N/A</v>
        <stp/>
        <stp>VOLUME</stp>
        <stp>.SPXW240129C4855</stp>
        <tr r="C131" s="7"/>
      </tp>
      <tp t="s">
        <v>N/A</v>
        <stp/>
        <stp>VOLUME</stp>
        <stp>.SPXW240129C4850</stp>
        <tr r="C130" s="7"/>
      </tp>
      <tp t="s">
        <v>N/A</v>
        <stp/>
        <stp>VOLUME</stp>
        <stp>.SPXW240129C3850</stp>
        <tr r="C28" s="7"/>
      </tp>
      <tp t="s">
        <v>N/A</v>
        <stp/>
        <stp>VOLUME</stp>
        <stp>.SPXW240129P4855</stp>
        <tr r="Q131" s="7"/>
      </tp>
      <tp t="s">
        <v>N/A</v>
        <stp/>
        <stp>VOLUME</stp>
        <stp>.SPXW240129P4850</stp>
        <tr r="Q130" s="7"/>
      </tp>
      <tp t="s">
        <v>N/A</v>
        <stp/>
        <stp>VOLUME</stp>
        <stp>.SPXW240129P3850</stp>
        <tr r="Q28" s="7"/>
      </tp>
      <tp t="s">
        <v>N/A</v>
        <stp/>
        <stp>VOLUME</stp>
        <stp>.SPXW240129C4865</stp>
        <tr r="C133" s="7"/>
      </tp>
      <tp t="s">
        <v>N/A</v>
        <stp/>
        <stp>VOLUME</stp>
        <stp>.SPXW240129C4860</stp>
        <tr r="C132" s="7"/>
      </tp>
      <tp t="s">
        <v>N/A</v>
        <stp/>
        <stp>VOLUME</stp>
        <stp>.SPXW240129P4865</stp>
        <tr r="Q133" s="7"/>
      </tp>
      <tp t="s">
        <v>N/A</v>
        <stp/>
        <stp>VOLUME</stp>
        <stp>.SPXW240129P4860</stp>
        <tr r="Q132" s="7"/>
      </tp>
      <tp t="s">
        <v>N/A</v>
        <stp/>
        <stp>VOLUME</stp>
        <stp>.SPXW240129C4875</stp>
        <tr r="C135" s="7"/>
      </tp>
      <tp t="s">
        <v>N/A</v>
        <stp/>
        <stp>VOLUME</stp>
        <stp>.SPXW240129C4870</stp>
        <tr r="C134" s="7"/>
      </tp>
      <tp t="s">
        <v>N/A</v>
        <stp/>
        <stp>VOLUME</stp>
        <stp>.SPXW240129P4875</stp>
        <tr r="Q135" s="7"/>
      </tp>
      <tp t="s">
        <v>N/A</v>
        <stp/>
        <stp>VOLUME</stp>
        <stp>.SPXW240129P4870</stp>
        <tr r="Q134" s="7"/>
      </tp>
      <tp t="s">
        <v>N/A</v>
        <stp/>
        <stp>VOLUME</stp>
        <stp>.SPXW240129C4885</stp>
        <tr r="C137" s="7"/>
      </tp>
      <tp t="s">
        <v>N/A</v>
        <stp/>
        <stp>VOLUME</stp>
        <stp>.SPXW240129C4880</stp>
        <tr r="C136" s="7"/>
      </tp>
      <tp t="s">
        <v>N/A</v>
        <stp/>
        <stp>VOLUME</stp>
        <stp>.SPXW240129P4885</stp>
        <tr r="Q137" s="7"/>
      </tp>
      <tp t="s">
        <v>N/A</v>
        <stp/>
        <stp>VOLUME</stp>
        <stp>.SPXW240129P4880</stp>
        <tr r="Q136" s="7"/>
      </tp>
      <tp t="s">
        <v>N/A</v>
        <stp/>
        <stp>VOLUME</stp>
        <stp>.SPXW240129C4895</stp>
        <tr r="C139" s="7"/>
      </tp>
      <tp t="s">
        <v>N/A</v>
        <stp/>
        <stp>VOLUME</stp>
        <stp>.SPXW240129C4890</stp>
        <tr r="C138" s="7"/>
      </tp>
      <tp t="s">
        <v>N/A</v>
        <stp/>
        <stp>VOLUME</stp>
        <stp>.SPXW240129P4895</stp>
        <tr r="Q139" s="7"/>
      </tp>
      <tp t="s">
        <v>N/A</v>
        <stp/>
        <stp>VOLUME</stp>
        <stp>.SPXW240129P4890</stp>
        <tr r="Q138" s="7"/>
      </tp>
      <tp>
        <v>20839.25</v>
        <stp/>
        <stp>LAST</stp>
        <stp>/NQ:XCME</stp>
        <tr r="T2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99391</xdr:colOff>
      <xdr:row>11</xdr:row>
      <xdr:rowOff>115957</xdr:rowOff>
    </xdr:from>
    <xdr:to>
      <xdr:col>2</xdr:col>
      <xdr:colOff>393674</xdr:colOff>
      <xdr:row>15</xdr:row>
      <xdr:rowOff>140804</xdr:rowOff>
    </xdr:to>
    <xdr:sp macro="[0]!StopAutoRefreshSav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D14E8A4-A1CD-B27A-FA22-B80B33AE5B71}"/>
            </a:ext>
          </a:extLst>
        </xdr:cNvPr>
        <xdr:cNvSpPr/>
      </xdr:nvSpPr>
      <xdr:spPr>
        <a:xfrm>
          <a:off x="99391" y="2211457"/>
          <a:ext cx="1371022" cy="786847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115957</xdr:colOff>
      <xdr:row>13</xdr:row>
      <xdr:rowOff>33130</xdr:rowOff>
    </xdr:from>
    <xdr:to>
      <xdr:col>2</xdr:col>
      <xdr:colOff>382713</xdr:colOff>
      <xdr:row>14</xdr:row>
      <xdr:rowOff>24847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157BF65-B94E-CD67-BFC2-DD2EF4E67465}"/>
            </a:ext>
          </a:extLst>
        </xdr:cNvPr>
        <xdr:cNvSpPr txBox="1"/>
      </xdr:nvSpPr>
      <xdr:spPr>
        <a:xfrm>
          <a:off x="115957" y="2509630"/>
          <a:ext cx="1343495" cy="182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Stop Live Feed</a:t>
          </a:r>
        </a:p>
        <a:p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99391</xdr:colOff>
      <xdr:row>5</xdr:row>
      <xdr:rowOff>182431</xdr:rowOff>
    </xdr:from>
    <xdr:to>
      <xdr:col>2</xdr:col>
      <xdr:colOff>364435</xdr:colOff>
      <xdr:row>9</xdr:row>
      <xdr:rowOff>190498</xdr:rowOff>
    </xdr:to>
    <xdr:sp macro="[0]!StartAutoRefreshSav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4B0D593-7A8B-4B34-9725-A677FD240B93}"/>
            </a:ext>
          </a:extLst>
        </xdr:cNvPr>
        <xdr:cNvSpPr/>
      </xdr:nvSpPr>
      <xdr:spPr>
        <a:xfrm>
          <a:off x="99391" y="1134931"/>
          <a:ext cx="1341783" cy="770067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132521</xdr:colOff>
      <xdr:row>7</xdr:row>
      <xdr:rowOff>66260</xdr:rowOff>
    </xdr:from>
    <xdr:to>
      <xdr:col>2</xdr:col>
      <xdr:colOff>356627</xdr:colOff>
      <xdr:row>8</xdr:row>
      <xdr:rowOff>57977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22AC335-6222-46CA-A844-643E3979D567}"/>
            </a:ext>
          </a:extLst>
        </xdr:cNvPr>
        <xdr:cNvSpPr txBox="1"/>
      </xdr:nvSpPr>
      <xdr:spPr>
        <a:xfrm>
          <a:off x="132521" y="1399760"/>
          <a:ext cx="1300845" cy="182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Start Live Feed</a:t>
          </a:r>
        </a:p>
        <a:p>
          <a:endParaRPr lang="en-US" sz="14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A94D0-FF48-45DC-AE41-FBD6065DB267}">
  <sheetPr codeName="Sheet5"/>
  <dimension ref="A1:W21"/>
  <sheetViews>
    <sheetView tabSelected="1" zoomScale="90" zoomScaleNormal="90" workbookViewId="0">
      <selection activeCell="F25" sqref="F25"/>
    </sheetView>
  </sheetViews>
  <sheetFormatPr defaultRowHeight="15" x14ac:dyDescent="0.25"/>
  <cols>
    <col min="1" max="1" width="6.28515625" bestFit="1" customWidth="1"/>
    <col min="2" max="2" width="19.140625" bestFit="1" customWidth="1"/>
    <col min="3" max="3" width="8.85546875" bestFit="1" customWidth="1"/>
    <col min="4" max="4" width="7.85546875" bestFit="1" customWidth="1"/>
    <col min="5" max="5" width="7.7109375" bestFit="1" customWidth="1"/>
    <col min="6" max="6" width="9.42578125" bestFit="1" customWidth="1"/>
    <col min="7" max="7" width="6.7109375" bestFit="1" customWidth="1"/>
    <col min="8" max="8" width="11.5703125" bestFit="1" customWidth="1"/>
    <col min="9" max="9" width="9.7109375" bestFit="1" customWidth="1"/>
    <col min="10" max="10" width="8.42578125" bestFit="1" customWidth="1"/>
    <col min="11" max="11" width="11.28515625" bestFit="1" customWidth="1"/>
    <col min="12" max="12" width="7.42578125" bestFit="1" customWidth="1"/>
    <col min="13" max="13" width="9.140625" bestFit="1" customWidth="1"/>
    <col min="14" max="14" width="6.42578125" bestFit="1" customWidth="1"/>
    <col min="15" max="15" width="11.28515625" bestFit="1" customWidth="1"/>
    <col min="16" max="16" width="9.5703125" bestFit="1" customWidth="1"/>
    <col min="17" max="17" width="7.5703125" bestFit="1" customWidth="1"/>
    <col min="21" max="21" width="23.28515625" bestFit="1" customWidth="1"/>
  </cols>
  <sheetData>
    <row r="1" spans="1:23" x14ac:dyDescent="0.25">
      <c r="A1" s="7" t="s">
        <v>4</v>
      </c>
      <c r="B1" s="7" t="s">
        <v>14</v>
      </c>
      <c r="C1" s="7" t="s">
        <v>1</v>
      </c>
      <c r="D1" s="9" t="s">
        <v>15</v>
      </c>
      <c r="E1" s="2" t="s">
        <v>2</v>
      </c>
      <c r="F1" s="2" t="s">
        <v>3</v>
      </c>
      <c r="G1" s="2" t="s">
        <v>5</v>
      </c>
      <c r="H1" s="2" t="s">
        <v>6</v>
      </c>
      <c r="I1" s="2" t="s">
        <v>7</v>
      </c>
      <c r="J1" s="2" t="s">
        <v>0</v>
      </c>
      <c r="K1" s="2" t="s">
        <v>9</v>
      </c>
      <c r="L1" s="3" t="s">
        <v>8</v>
      </c>
      <c r="M1" s="3" t="s">
        <v>10</v>
      </c>
      <c r="N1" s="3" t="s">
        <v>11</v>
      </c>
      <c r="O1" s="3" t="s">
        <v>12</v>
      </c>
      <c r="P1" s="3" t="s">
        <v>13</v>
      </c>
      <c r="Q1" s="9" t="s">
        <v>16</v>
      </c>
      <c r="R1" s="4"/>
      <c r="S1" s="9" t="s">
        <v>105</v>
      </c>
      <c r="T1" s="10">
        <f>RTD("tos.rtd", , "ASK", A2)</f>
        <v>504.17</v>
      </c>
    </row>
    <row r="2" spans="1:23" x14ac:dyDescent="0.25">
      <c r="A2" s="6" t="s">
        <v>105</v>
      </c>
      <c r="B2" s="6">
        <v>241106</v>
      </c>
      <c r="C2" s="6">
        <f>RTD("tos.rtd", , "ASK", A2)</f>
        <v>504.17</v>
      </c>
      <c r="D2" s="1">
        <f>RTD("tos.rtd", , "ASK", "." &amp; $A$2 &amp; $B$2 &amp; "C" &amp; TEXT($J2, "0"))</f>
        <v>8.27</v>
      </c>
      <c r="E2" s="1">
        <f>RTD("tos.rtd", , "VOLUME", "." &amp; $A$2 &amp; $B$2 &amp; "C" &amp; TEXT($J3, "0"))</f>
        <v>1980</v>
      </c>
      <c r="F2" s="1">
        <f>RTD("tos.rtd", , "DELTA", "." &amp; $A$2 &amp; $B$2 &amp; "C" &amp; TEXT($J2, "0"))</f>
        <v>1</v>
      </c>
      <c r="G2" s="1">
        <f>RTD("tos.rtd", , "OPEN_INT", "." &amp; $A$2 &amp; $B$2 &amp; "C" &amp; TEXT($J2, "0"))</f>
        <v>4677</v>
      </c>
      <c r="H2" s="1">
        <f>RTD("tos.rtd", , "GAMMA", "." &amp; $A$2 &amp; $B$2 &amp; "C" &amp; TEXT($J2, "0"))</f>
        <v>0</v>
      </c>
      <c r="I2" s="1">
        <f>RTD("tos.rtd", , "THETA", "." &amp; $A$2 &amp; $B$2 &amp; "C" &amp; TEXT($J2, "0"))</f>
        <v>0</v>
      </c>
      <c r="J2" s="1">
        <f>FLOOR(C2 - 8, 1)</f>
        <v>496</v>
      </c>
      <c r="K2" s="1" t="str">
        <f>RTD("tos.rtd", , "EXPIRATION_DAY", "." &amp; $A$2 &amp; $B$2 &amp; "C" &amp; TEXT($J2, "0"))</f>
        <v>2024-11-06</v>
      </c>
      <c r="L2" s="1">
        <f>RTD("tos.rtd", , "VOLUME", "." &amp; $A$2 &amp; $B$2 &amp; "P" &amp; TEXT($J2, "0"))</f>
        <v>44157</v>
      </c>
      <c r="M2" s="1">
        <f>RTD("tos.rtd", , "DELTA", "." &amp; $A$2 &amp; $B$2 &amp; "P" &amp; TEXT($J2, "0"))</f>
        <v>-0.02</v>
      </c>
      <c r="N2" s="1">
        <f>RTD("tos.rtd", , "OPEN_INT", "." &amp; $A$2 &amp; $B$2 &amp; "P" &amp; TEXT($J2, "0"))</f>
        <v>558</v>
      </c>
      <c r="O2" s="1">
        <f>RTD("tos.rtd", , "GAMMA", "." &amp; $A$2 &amp; $B$2 &amp; "P" &amp; TEXT($J2, "0"))</f>
        <v>0.01</v>
      </c>
      <c r="P2" s="1">
        <f>RTD("tos.rtd", , "THETA", "." &amp; $A$2 &amp; $B$2 &amp; "P" &amp; TEXT($J2, "0"))</f>
        <v>-0.03</v>
      </c>
      <c r="Q2" s="1">
        <f>RTD("tos.rtd", , "ASK", "." &amp; $A$2 &amp; $B$2 &amp; "P" &amp; TEXT($J2, "0"))</f>
        <v>0.03</v>
      </c>
      <c r="R2" s="4"/>
      <c r="S2" t="s">
        <v>106</v>
      </c>
      <c r="T2">
        <f>RTD("tos.rtd", , "LAST", "/NQ:XCME")</f>
        <v>20839.25</v>
      </c>
    </row>
    <row r="3" spans="1:23" x14ac:dyDescent="0.25">
      <c r="A3" s="5"/>
      <c r="B3" s="5"/>
      <c r="C3" s="5"/>
      <c r="D3" s="1">
        <f>RTD("tos.rtd", , "ASK", "." &amp; $A$2 &amp; $B$2 &amp; "C" &amp; TEXT($J3, "0"))</f>
        <v>7.29</v>
      </c>
      <c r="E3" s="1">
        <f>RTD("tos.rtd", , "VOLUME", "." &amp; $A$2 &amp; $B$2 &amp; "C" &amp; TEXT($J3, "0"))</f>
        <v>1980</v>
      </c>
      <c r="F3" s="1">
        <f>RTD("tos.rtd", , "DELTA", "." &amp; $A$2 &amp; $B$2 &amp; "C" &amp; TEXT($J3, "0"))</f>
        <v>1</v>
      </c>
      <c r="G3" s="1">
        <f>RTD("tos.rtd", , "OPEN_INT", "." &amp; $A$2 &amp; $B$2 &amp; "C" &amp; TEXT($J3, "0"))</f>
        <v>3222</v>
      </c>
      <c r="H3" s="1">
        <f>RTD("tos.rtd", , "GAMMA", "." &amp; $A$2 &amp; $B$2 &amp; "C" &amp; TEXT($J3, "0"))</f>
        <v>0</v>
      </c>
      <c r="I3" s="1">
        <f>RTD("tos.rtd", , "THETA", "." &amp; $A$2 &amp; $B$2 &amp; "C" &amp; TEXT($J3, "0"))</f>
        <v>-0.01</v>
      </c>
      <c r="J3" s="1">
        <f t="shared" ref="J3:J18" si="0">J2+1</f>
        <v>497</v>
      </c>
      <c r="K3" s="1" t="str">
        <f>RTD("tos.rtd", , "EXPIRATION_DAY", "." &amp; $A$2 &amp; $B$2 &amp; "C" &amp; TEXT($J3, "0"))</f>
        <v>2024-11-06</v>
      </c>
      <c r="L3" s="1">
        <f>RTD("tos.rtd", , "VOLUME", "." &amp; $A$2 &amp; $B$2 &amp; "P" &amp; TEXT($J3, "0"))</f>
        <v>87020</v>
      </c>
      <c r="M3" s="1">
        <f>RTD("tos.rtd", , "DELTA", "." &amp; $A$2 &amp; $B$2 &amp; "P" &amp; TEXT($J3, "0"))</f>
        <v>-0.03</v>
      </c>
      <c r="N3" s="1">
        <f>RTD("tos.rtd", , "OPEN_INT", "." &amp; $A$2 &amp; $B$2 &amp; "P" &amp; TEXT($J3, "0"))</f>
        <v>505</v>
      </c>
      <c r="O3" s="1">
        <f>RTD("tos.rtd", , "GAMMA", "." &amp; $A$2 &amp; $B$2 &amp; "P" &amp; TEXT($J3, "0"))</f>
        <v>0.02</v>
      </c>
      <c r="P3" s="1">
        <f>RTD("tos.rtd", , "THETA", "." &amp; $A$2 &amp; $B$2 &amp; "P" &amp; TEXT($J3, "0"))</f>
        <v>-0.04</v>
      </c>
      <c r="Q3" s="1">
        <f>RTD("tos.rtd", , "ASK", "." &amp; $A$2 &amp; $B$2 &amp; "P" &amp; TEXT($J3, "0"))</f>
        <v>0.04</v>
      </c>
      <c r="R3" s="4"/>
      <c r="S3" t="s">
        <v>107</v>
      </c>
      <c r="T3">
        <f>T2/T1</f>
        <v>41.333776305611202</v>
      </c>
    </row>
    <row r="4" spans="1:23" x14ac:dyDescent="0.25">
      <c r="A4" s="4"/>
      <c r="B4" s="4"/>
      <c r="C4" s="4"/>
      <c r="D4" s="1">
        <f>RTD("tos.rtd", , "ASK", "." &amp; $A$2 &amp; $B$2 &amp; "C" &amp; TEXT($J4, "0"))</f>
        <v>6.29</v>
      </c>
      <c r="E4" s="1">
        <f>RTD("tos.rtd", , "VOLUME", "." &amp; $A$2 &amp; $B$2 &amp; "C" &amp; TEXT($J4, "0"))</f>
        <v>5052</v>
      </c>
      <c r="F4" s="1">
        <f>RTD("tos.rtd", , "DELTA", "." &amp; $A$2 &amp; $B$2 &amp; "C" &amp; TEXT($J4, "0"))</f>
        <v>1</v>
      </c>
      <c r="G4" s="1">
        <f>RTD("tos.rtd", , "OPEN_INT", "." &amp; $A$2 &amp; $B$2 &amp; "C" &amp; TEXT($J4, "0"))</f>
        <v>5415</v>
      </c>
      <c r="H4" s="1">
        <f>RTD("tos.rtd", , "GAMMA", "." &amp; $A$2 &amp; $B$2 &amp; "C" &amp; TEXT($J4, "0"))</f>
        <v>0.01</v>
      </c>
      <c r="I4" s="1">
        <f>RTD("tos.rtd", , "THETA", "." &amp; $A$2 &amp; $B$2 &amp; "C" &amp; TEXT($J4, "0"))</f>
        <v>-0.01</v>
      </c>
      <c r="J4" s="1">
        <f t="shared" si="0"/>
        <v>498</v>
      </c>
      <c r="K4" s="1" t="str">
        <f>RTD("tos.rtd", , "EXPIRATION_DAY", "." &amp; $A$2 &amp; $B$2 &amp; "C" &amp; TEXT($J4, "0"))</f>
        <v>2024-11-06</v>
      </c>
      <c r="L4" s="1">
        <f>RTD("tos.rtd", , "VOLUME", "." &amp; $A$2 &amp; $B$2 &amp; "P" &amp; TEXT($J4, "0"))</f>
        <v>75672</v>
      </c>
      <c r="M4" s="1">
        <f>RTD("tos.rtd", , "DELTA", "." &amp; $A$2 &amp; $B$2 &amp; "P" &amp; TEXT($J4, "0"))</f>
        <v>-0.03</v>
      </c>
      <c r="N4" s="1">
        <f>RTD("tos.rtd", , "OPEN_INT", "." &amp; $A$2 &amp; $B$2 &amp; "P" &amp; TEXT($J4, "0"))</f>
        <v>754</v>
      </c>
      <c r="O4" s="1">
        <f>RTD("tos.rtd", , "GAMMA", "." &amp; $A$2 &amp; $B$2 &amp; "P" &amp; TEXT($J4, "0"))</f>
        <v>0.02</v>
      </c>
      <c r="P4" s="1">
        <f>RTD("tos.rtd", , "THETA", "." &amp; $A$2 &amp; $B$2 &amp; "P" &amp; TEXT($J4, "0"))</f>
        <v>-0.05</v>
      </c>
      <c r="Q4" s="1">
        <f>RTD("tos.rtd", , "ASK", "." &amp; $A$2 &amp; $B$2 &amp; "P" &amp; TEXT($J4, "0"))</f>
        <v>0.05</v>
      </c>
      <c r="R4" s="4"/>
    </row>
    <row r="5" spans="1:23" x14ac:dyDescent="0.25">
      <c r="A5" s="4"/>
      <c r="B5" s="4"/>
      <c r="C5" s="4"/>
      <c r="D5" s="1">
        <f>RTD("tos.rtd", , "ASK", "." &amp; $A$2 &amp; $B$2 &amp; "C" &amp; TEXT($J5, "0"))</f>
        <v>5.36</v>
      </c>
      <c r="E5" s="1">
        <f>RTD("tos.rtd", , "VOLUME", "." &amp; $A$2 &amp; $B$2 &amp; "C" &amp; TEXT($J5, "0"))</f>
        <v>6538</v>
      </c>
      <c r="F5" s="1">
        <f>RTD("tos.rtd", , "DELTA", "." &amp; $A$2 &amp; $B$2 &amp; "C" &amp; TEXT($J5, "0"))</f>
        <v>0.97</v>
      </c>
      <c r="G5" s="1">
        <f>RTD("tos.rtd", , "OPEN_INT", "." &amp; $A$2 &amp; $B$2 &amp; "C" &amp; TEXT($J5, "0"))</f>
        <v>3622</v>
      </c>
      <c r="H5" s="1">
        <f>RTD("tos.rtd", , "GAMMA", "." &amp; $A$2 &amp; $B$2 &amp; "C" &amp; TEXT($J5, "0"))</f>
        <v>0.02</v>
      </c>
      <c r="I5" s="1">
        <f>RTD("tos.rtd", , "THETA", "." &amp; $A$2 &amp; $B$2 &amp; "C" &amp; TEXT($J5, "0"))</f>
        <v>-0.04</v>
      </c>
      <c r="J5" s="1">
        <f t="shared" si="0"/>
        <v>499</v>
      </c>
      <c r="K5" s="1" t="str">
        <f>RTD("tos.rtd", , "EXPIRATION_DAY", "." &amp; $A$2 &amp; $B$2 &amp; "C" &amp; TEXT($J5, "0"))</f>
        <v>2024-11-06</v>
      </c>
      <c r="L5" s="1">
        <f>RTD("tos.rtd", , "VOLUME", "." &amp; $A$2 &amp; $B$2 &amp; "P" &amp; TEXT($J5, "0"))</f>
        <v>62125</v>
      </c>
      <c r="M5" s="1">
        <f>RTD("tos.rtd", , "DELTA", "." &amp; $A$2 &amp; $B$2 &amp; "P" &amp; TEXT($J5, "0"))</f>
        <v>-0.05</v>
      </c>
      <c r="N5" s="1">
        <f>RTD("tos.rtd", , "OPEN_INT", "." &amp; $A$2 &amp; $B$2 &amp; "P" &amp; TEXT($J5, "0"))</f>
        <v>403</v>
      </c>
      <c r="O5" s="1">
        <f>RTD("tos.rtd", , "GAMMA", "." &amp; $A$2 &amp; $B$2 &amp; "P" &amp; TEXT($J5, "0"))</f>
        <v>0.03</v>
      </c>
      <c r="P5" s="1">
        <f>RTD("tos.rtd", , "THETA", "." &amp; $A$2 &amp; $B$2 &amp; "P" &amp; TEXT($J5, "0"))</f>
        <v>-7.0000000000000007E-2</v>
      </c>
      <c r="Q5" s="1">
        <f>RTD("tos.rtd", , "ASK", "." &amp; $A$2 &amp; $B$2 &amp; "P" &amp; TEXT($J5, "0"))</f>
        <v>7.0000000000000007E-2</v>
      </c>
      <c r="R5" s="4"/>
      <c r="S5" s="1">
        <f>FLOOR(C2 - 8, 1)</f>
        <v>496</v>
      </c>
      <c r="T5">
        <f>S5*$T$3</f>
        <v>20501.553047583155</v>
      </c>
      <c r="U5" t="str">
        <f>_xlfn.CONCAT(MROUND(T5,0.25)," ",(MROUND(T5,0.25))," ",$W$5," ","""",S5,"""")</f>
        <v>20501.5 20501.5 #GOLD @50 "496"</v>
      </c>
      <c r="W5" t="s">
        <v>108</v>
      </c>
    </row>
    <row r="6" spans="1:23" x14ac:dyDescent="0.25">
      <c r="A6" s="4"/>
      <c r="B6" s="4"/>
      <c r="C6" s="4"/>
      <c r="D6" s="1">
        <f>RTD("tos.rtd", , "ASK", "." &amp; $A$2 &amp; $B$2 &amp; "C" &amp; TEXT($J6, "0"))</f>
        <v>4.29</v>
      </c>
      <c r="E6" s="1">
        <f>RTD("tos.rtd", , "VOLUME", "." &amp; $A$2 &amp; $B$2 &amp; "C" &amp; TEXT($J6, "0"))</f>
        <v>39411</v>
      </c>
      <c r="F6" s="1">
        <f>RTD("tos.rtd", , "DELTA", "." &amp; $A$2 &amp; $B$2 &amp; "C" &amp; TEXT($J6, "0"))</f>
        <v>0.95</v>
      </c>
      <c r="G6" s="1">
        <f>RTD("tos.rtd", , "OPEN_INT", "." &amp; $A$2 &amp; $B$2 &amp; "C" &amp; TEXT($J6, "0"))</f>
        <v>18924</v>
      </c>
      <c r="H6" s="1">
        <f>RTD("tos.rtd", , "GAMMA", "." &amp; $A$2 &amp; $B$2 &amp; "C" &amp; TEXT($J6, "0"))</f>
        <v>0.04</v>
      </c>
      <c r="I6" s="1">
        <f>RTD("tos.rtd", , "THETA", "." &amp; $A$2 &amp; $B$2 &amp; "C" &amp; TEXT($J6, "0"))</f>
        <v>-0.06</v>
      </c>
      <c r="J6" s="1">
        <f t="shared" si="0"/>
        <v>500</v>
      </c>
      <c r="K6" s="1" t="str">
        <f>RTD("tos.rtd", , "EXPIRATION_DAY", "." &amp; $A$2 &amp; $B$2 &amp; "C" &amp; TEXT($J6, "0"))</f>
        <v>2024-11-06</v>
      </c>
      <c r="L6" s="1">
        <f>RTD("tos.rtd", , "VOLUME", "." &amp; $A$2 &amp; $B$2 &amp; "P" &amp; TEXT($J6, "0"))</f>
        <v>123216</v>
      </c>
      <c r="M6" s="1">
        <f>RTD("tos.rtd", , "DELTA", "." &amp; $A$2 &amp; $B$2 &amp; "P" &amp; TEXT($J6, "0"))</f>
        <v>-0.08</v>
      </c>
      <c r="N6" s="1">
        <f>RTD("tos.rtd", , "OPEN_INT", "." &amp; $A$2 &amp; $B$2 &amp; "P" &amp; TEXT($J6, "0"))</f>
        <v>462</v>
      </c>
      <c r="O6" s="1">
        <f>RTD("tos.rtd", , "GAMMA", "." &amp; $A$2 &amp; $B$2 &amp; "P" &amp; TEXT($J6, "0"))</f>
        <v>0.05</v>
      </c>
      <c r="P6" s="1">
        <f>RTD("tos.rtd", , "THETA", "." &amp; $A$2 &amp; $B$2 &amp; "P" &amp; TEXT($J6, "0"))</f>
        <v>-0.11</v>
      </c>
      <c r="Q6" s="1">
        <f>RTD("tos.rtd", , "ASK", "." &amp; $A$2 &amp; $B$2 &amp; "P" &amp; TEXT($J6, "0"))</f>
        <v>0.11</v>
      </c>
      <c r="R6" s="4"/>
      <c r="S6" s="1">
        <f t="shared" ref="S6:S21" si="1">S5+1</f>
        <v>497</v>
      </c>
      <c r="T6">
        <f t="shared" ref="T6:T21" si="2">S6*$T$3</f>
        <v>20542.886823888766</v>
      </c>
      <c r="U6" t="str">
        <f t="shared" ref="U6:U21" si="3">_xlfn.CONCAT(MROUND(T6,0.25)," ",(MROUND(T6,0.25))," ",$W$5," ","""",S6,"""")</f>
        <v>20543 20543 #GOLD @50 "497"</v>
      </c>
    </row>
    <row r="7" spans="1:23" x14ac:dyDescent="0.25">
      <c r="A7" s="4"/>
      <c r="B7" s="4"/>
      <c r="C7" s="4"/>
      <c r="D7" s="1">
        <f>RTD("tos.rtd", , "ASK", "." &amp; $A$2 &amp; $B$2 &amp; "C" &amp; TEXT($J7, "0"))</f>
        <v>3.32</v>
      </c>
      <c r="E7" s="1">
        <f>RTD("tos.rtd", , "VOLUME", "." &amp; $A$2 &amp; $B$2 &amp; "C" &amp; TEXT($J7, "0"))</f>
        <v>54104</v>
      </c>
      <c r="F7" s="1">
        <f>RTD("tos.rtd", , "DELTA", "." &amp; $A$2 &amp; $B$2 &amp; "C" &amp; TEXT($J7, "0"))</f>
        <v>0.9</v>
      </c>
      <c r="G7" s="1">
        <f>RTD("tos.rtd", , "OPEN_INT", "." &amp; $A$2 &amp; $B$2 &amp; "C" &amp; TEXT($J7, "0"))</f>
        <v>5094</v>
      </c>
      <c r="H7" s="1">
        <f>RTD("tos.rtd", , "GAMMA", "." &amp; $A$2 &amp; $B$2 &amp; "C" &amp; TEXT($J7, "0"))</f>
        <v>7.0000000000000007E-2</v>
      </c>
      <c r="I7" s="1">
        <f>RTD("tos.rtd", , "THETA", "." &amp; $A$2 &amp; $B$2 &amp; "C" &amp; TEXT($J7, "0"))</f>
        <v>-0.13</v>
      </c>
      <c r="J7" s="1">
        <f t="shared" si="0"/>
        <v>501</v>
      </c>
      <c r="K7" s="1" t="str">
        <f>RTD("tos.rtd", , "EXPIRATION_DAY", "." &amp; $A$2 &amp; $B$2 &amp; "C" &amp; TEXT($J7, "0"))</f>
        <v>2024-11-06</v>
      </c>
      <c r="L7" s="1">
        <f>RTD("tos.rtd", , "VOLUME", "." &amp; $A$2 &amp; $B$2 &amp; "P" &amp; TEXT($J7, "0"))</f>
        <v>96598</v>
      </c>
      <c r="M7" s="1">
        <f>RTD("tos.rtd", , "DELTA", "." &amp; $A$2 &amp; $B$2 &amp; "P" &amp; TEXT($J7, "0"))</f>
        <v>-0.12</v>
      </c>
      <c r="N7" s="1">
        <f>RTD("tos.rtd", , "OPEN_INT", "." &amp; $A$2 &amp; $B$2 &amp; "P" &amp; TEXT($J7, "0"))</f>
        <v>173</v>
      </c>
      <c r="O7" s="1">
        <f>RTD("tos.rtd", , "GAMMA", "." &amp; $A$2 &amp; $B$2 &amp; "P" &amp; TEXT($J7, "0"))</f>
        <v>7.0000000000000007E-2</v>
      </c>
      <c r="P7" s="1">
        <f>RTD("tos.rtd", , "THETA", "." &amp; $A$2 &amp; $B$2 &amp; "P" &amp; TEXT($J7, "0"))</f>
        <v>-0.17</v>
      </c>
      <c r="Q7" s="1">
        <f>RTD("tos.rtd", , "ASK", "." &amp; $A$2 &amp; $B$2 &amp; "P" &amp; TEXT($J7, "0"))</f>
        <v>0.17</v>
      </c>
      <c r="R7" s="4"/>
      <c r="S7" s="1">
        <f t="shared" si="1"/>
        <v>498</v>
      </c>
      <c r="T7">
        <f t="shared" si="2"/>
        <v>20584.220600194378</v>
      </c>
      <c r="U7" t="str">
        <f t="shared" si="3"/>
        <v>20584.25 20584.25 #GOLD @50 "498"</v>
      </c>
    </row>
    <row r="8" spans="1:23" x14ac:dyDescent="0.25">
      <c r="A8" s="4"/>
      <c r="B8" s="4"/>
      <c r="C8" s="4"/>
      <c r="D8" s="1">
        <f>RTD("tos.rtd", , "ASK", "." &amp; $A$2 &amp; $B$2 &amp; "C" &amp; TEXT($J8, "0"))</f>
        <v>2.41</v>
      </c>
      <c r="E8" s="1">
        <f>RTD("tos.rtd", , "VOLUME", "." &amp; $A$2 &amp; $B$2 &amp; "C" &amp; TEXT($J8, "0"))</f>
        <v>90580</v>
      </c>
      <c r="F8" s="1">
        <f>RTD("tos.rtd", , "DELTA", "." &amp; $A$2 &amp; $B$2 &amp; "C" &amp; TEXT($J8, "0"))</f>
        <v>0.82</v>
      </c>
      <c r="G8" s="1">
        <f>RTD("tos.rtd", , "OPEN_INT", "." &amp; $A$2 &amp; $B$2 &amp; "C" &amp; TEXT($J8, "0"))</f>
        <v>7929</v>
      </c>
      <c r="H8" s="1">
        <f>RTD("tos.rtd", , "GAMMA", "." &amp; $A$2 &amp; $B$2 &amp; "C" &amp; TEXT($J8, "0"))</f>
        <v>0.11</v>
      </c>
      <c r="I8" s="1">
        <f>RTD("tos.rtd", , "THETA", "." &amp; $A$2 &amp; $B$2 &amp; "C" &amp; TEXT($J8, "0"))</f>
        <v>-0.23</v>
      </c>
      <c r="J8" s="1">
        <f t="shared" si="0"/>
        <v>502</v>
      </c>
      <c r="K8" s="1" t="str">
        <f>RTD("tos.rtd", , "EXPIRATION_DAY", "." &amp; $A$2 &amp; $B$2 &amp; "C" &amp; TEXT($J8, "0"))</f>
        <v>2024-11-06</v>
      </c>
      <c r="L8" s="1">
        <f>RTD("tos.rtd", , "VOLUME", "." &amp; $A$2 &amp; $B$2 &amp; "P" &amp; TEXT($J8, "0"))</f>
        <v>108603</v>
      </c>
      <c r="M8" s="1">
        <f>RTD("tos.rtd", , "DELTA", "." &amp; $A$2 &amp; $B$2 &amp; "P" &amp; TEXT($J8, "0"))</f>
        <v>-0.19</v>
      </c>
      <c r="N8" s="1">
        <f>RTD("tos.rtd", , "OPEN_INT", "." &amp; $A$2 &amp; $B$2 &amp; "P" &amp; TEXT($J8, "0"))</f>
        <v>492</v>
      </c>
      <c r="O8" s="1">
        <f>RTD("tos.rtd", , "GAMMA", "." &amp; $A$2 &amp; $B$2 &amp; "P" &amp; TEXT($J8, "0"))</f>
        <v>0.11</v>
      </c>
      <c r="P8" s="1">
        <f>RTD("tos.rtd", , "THETA", "." &amp; $A$2 &amp; $B$2 &amp; "P" &amp; TEXT($J8, "0"))</f>
        <v>-0.27</v>
      </c>
      <c r="Q8" s="1">
        <f>RTD("tos.rtd", , "ASK", "." &amp; $A$2 &amp; $B$2 &amp; "P" &amp; TEXT($J8, "0"))</f>
        <v>0.27</v>
      </c>
      <c r="R8" s="4"/>
      <c r="S8" s="1">
        <f t="shared" si="1"/>
        <v>499</v>
      </c>
      <c r="T8">
        <f t="shared" si="2"/>
        <v>20625.554376499989</v>
      </c>
      <c r="U8" t="str">
        <f t="shared" si="3"/>
        <v>20625.5 20625.5 #GOLD @50 "499"</v>
      </c>
    </row>
    <row r="9" spans="1:23" x14ac:dyDescent="0.25">
      <c r="A9" s="4"/>
      <c r="B9" s="4"/>
      <c r="C9" s="4"/>
      <c r="D9" s="1">
        <f>RTD("tos.rtd", , "ASK", "." &amp; $A$2 &amp; $B$2 &amp; "C" &amp; TEXT($J9, "0"))</f>
        <v>1.57</v>
      </c>
      <c r="E9" s="1">
        <f>RTD("tos.rtd", , "VOLUME", "." &amp; $A$2 &amp; $B$2 &amp; "C" &amp; TEXT($J9, "0"))</f>
        <v>190094</v>
      </c>
      <c r="F9" s="1">
        <f>RTD("tos.rtd", , "DELTA", "." &amp; $A$2 &amp; $B$2 &amp; "C" &amp; TEXT($J9, "0"))</f>
        <v>0.71</v>
      </c>
      <c r="G9" s="1">
        <f>RTD("tos.rtd", , "OPEN_INT", "." &amp; $A$2 &amp; $B$2 &amp; "C" &amp; TEXT($J9, "0"))</f>
        <v>1885</v>
      </c>
      <c r="H9" s="1">
        <f>RTD("tos.rtd", , "GAMMA", "." &amp; $A$2 &amp; $B$2 &amp; "C" &amp; TEXT($J9, "0"))</f>
        <v>0.16</v>
      </c>
      <c r="I9" s="1">
        <f>RTD("tos.rtd", , "THETA", "." &amp; $A$2 &amp; $B$2 &amp; "C" &amp; TEXT($J9, "0"))</f>
        <v>-0.4</v>
      </c>
      <c r="J9" s="1">
        <f t="shared" si="0"/>
        <v>503</v>
      </c>
      <c r="K9" s="1" t="str">
        <f>RTD("tos.rtd", , "EXPIRATION_DAY", "." &amp; $A$2 &amp; $B$2 &amp; "C" &amp; TEXT($J9, "0"))</f>
        <v>2024-11-06</v>
      </c>
      <c r="L9" s="1">
        <f>RTD("tos.rtd", , "VOLUME", "." &amp; $A$2 &amp; $B$2 &amp; "P" &amp; TEXT($J9, "0"))</f>
        <v>116671</v>
      </c>
      <c r="M9" s="1">
        <f>RTD("tos.rtd", , "DELTA", "." &amp; $A$2 &amp; $B$2 &amp; "P" &amp; TEXT($J9, "0"))</f>
        <v>-0.31</v>
      </c>
      <c r="N9" s="1">
        <f>RTD("tos.rtd", , "OPEN_INT", "." &amp; $A$2 &amp; $B$2 &amp; "P" &amp; TEXT($J9, "0"))</f>
        <v>98</v>
      </c>
      <c r="O9" s="1">
        <f>RTD("tos.rtd", , "GAMMA", "." &amp; $A$2 &amp; $B$2 &amp; "P" &amp; TEXT($J9, "0"))</f>
        <v>0.15</v>
      </c>
      <c r="P9" s="1">
        <f>RTD("tos.rtd", , "THETA", "." &amp; $A$2 &amp; $B$2 &amp; "P" &amp; TEXT($J9, "0"))</f>
        <v>-0.46</v>
      </c>
      <c r="Q9" s="1">
        <f>RTD("tos.rtd", , "ASK", "." &amp; $A$2 &amp; $B$2 &amp; "P" &amp; TEXT($J9, "0"))</f>
        <v>0.46</v>
      </c>
      <c r="R9" s="4"/>
      <c r="S9" s="1">
        <f t="shared" si="1"/>
        <v>500</v>
      </c>
      <c r="T9">
        <f t="shared" si="2"/>
        <v>20666.888152805601</v>
      </c>
      <c r="U9" t="str">
        <f t="shared" si="3"/>
        <v>20667 20667 #GOLD @50 "500"</v>
      </c>
    </row>
    <row r="10" spans="1:23" x14ac:dyDescent="0.25">
      <c r="A10" s="4"/>
      <c r="B10" s="4"/>
      <c r="C10" s="4"/>
      <c r="D10" s="1">
        <f>RTD("tos.rtd", , "ASK", "." &amp; $A$2 &amp; $B$2 &amp; "C" &amp; TEXT($J10, "0"))</f>
        <v>0.9</v>
      </c>
      <c r="E10" s="1">
        <f>RTD("tos.rtd", , "VOLUME", "." &amp; $A$2 &amp; $B$2 &amp; "C" &amp; TEXT($J10, "0"))</f>
        <v>139903</v>
      </c>
      <c r="F10" s="1">
        <f>RTD("tos.rtd", , "DELTA", "." &amp; $A$2 &amp; $B$2 &amp; "C" &amp; TEXT($J10, "0"))</f>
        <v>0.53</v>
      </c>
      <c r="G10" s="1">
        <f>RTD("tos.rtd", , "OPEN_INT", "." &amp; $A$2 &amp; $B$2 &amp; "C" &amp; TEXT($J10, "0"))</f>
        <v>4728</v>
      </c>
      <c r="H10" s="1">
        <f>RTD("tos.rtd", , "GAMMA", "." &amp; $A$2 &amp; $B$2 &amp; "C" &amp; TEXT($J10, "0"))</f>
        <v>0.19</v>
      </c>
      <c r="I10" s="1">
        <f>RTD("tos.rtd", , "THETA", "." &amp; $A$2 &amp; $B$2 &amp; "C" &amp; TEXT($J10, "0"))</f>
        <v>-0.75</v>
      </c>
      <c r="J10" s="1">
        <f t="shared" si="0"/>
        <v>504</v>
      </c>
      <c r="K10" s="1" t="str">
        <f>RTD("tos.rtd", , "EXPIRATION_DAY", "." &amp; $A$2 &amp; $B$2 &amp; "C" &amp; TEXT($J10, "0"))</f>
        <v>2024-11-06</v>
      </c>
      <c r="L10" s="1">
        <f>RTD("tos.rtd", , "VOLUME", "." &amp; $A$2 &amp; $B$2 &amp; "P" &amp; TEXT($J10, "0"))</f>
        <v>66611</v>
      </c>
      <c r="M10" s="1">
        <f>RTD("tos.rtd", , "DELTA", "." &amp; $A$2 &amp; $B$2 &amp; "P" &amp; TEXT($J10, "0"))</f>
        <v>-0.47</v>
      </c>
      <c r="N10" s="1">
        <f>RTD("tos.rtd", , "OPEN_INT", "." &amp; $A$2 &amp; $B$2 &amp; "P" &amp; TEXT($J10, "0"))</f>
        <v>143</v>
      </c>
      <c r="O10" s="1">
        <f>RTD("tos.rtd", , "GAMMA", "." &amp; $A$2 &amp; $B$2 &amp; "P" &amp; TEXT($J10, "0"))</f>
        <v>0.19</v>
      </c>
      <c r="P10" s="1">
        <f>RTD("tos.rtd", , "THETA", "." &amp; $A$2 &amp; $B$2 &amp; "P" &amp; TEXT($J10, "0"))</f>
        <v>-0.78</v>
      </c>
      <c r="Q10" s="1">
        <f>RTD("tos.rtd", , "ASK", "." &amp; $A$2 &amp; $B$2 &amp; "P" &amp; TEXT($J10, "0"))</f>
        <v>0.78</v>
      </c>
      <c r="R10" s="4"/>
      <c r="S10" s="1">
        <f t="shared" si="1"/>
        <v>501</v>
      </c>
      <c r="T10">
        <f t="shared" si="2"/>
        <v>20708.221929111212</v>
      </c>
      <c r="U10" t="str">
        <f t="shared" si="3"/>
        <v>20708.25 20708.25 #GOLD @50 "501"</v>
      </c>
    </row>
    <row r="11" spans="1:23" x14ac:dyDescent="0.25">
      <c r="A11" s="4"/>
      <c r="B11" s="4"/>
      <c r="C11" s="4"/>
      <c r="D11" s="1">
        <f>RTD("tos.rtd", , "ASK", "." &amp; $A$2 &amp; $B$2 &amp; "C" &amp; TEXT($J11, "0"))</f>
        <v>0.44</v>
      </c>
      <c r="E11" s="1">
        <f>RTD("tos.rtd", , "VOLUME", "." &amp; $A$2 &amp; $B$2 &amp; "C" &amp; TEXT($J11, "0"))</f>
        <v>134695</v>
      </c>
      <c r="F11" s="1">
        <f>RTD("tos.rtd", , "DELTA", "." &amp; $A$2 &amp; $B$2 &amp; "C" &amp; TEXT($J11, "0"))</f>
        <v>0.34</v>
      </c>
      <c r="G11" s="1">
        <f>RTD("tos.rtd", , "OPEN_INT", "." &amp; $A$2 &amp; $B$2 &amp; "C" &amp; TEXT($J11, "0"))</f>
        <v>11372</v>
      </c>
      <c r="H11" s="1">
        <f>RTD("tos.rtd", , "GAMMA", "." &amp; $A$2 &amp; $B$2 &amp; "C" &amp; TEXT($J11, "0"))</f>
        <v>0.19</v>
      </c>
      <c r="I11" s="1">
        <f>RTD("tos.rtd", , "THETA", "." &amp; $A$2 &amp; $B$2 &amp; "C" &amp; TEXT($J11, "0"))</f>
        <v>-0.44</v>
      </c>
      <c r="J11" s="1">
        <f t="shared" si="0"/>
        <v>505</v>
      </c>
      <c r="K11" s="1" t="str">
        <f>RTD("tos.rtd", , "EXPIRATION_DAY", "." &amp; $A$2 &amp; $B$2 &amp; "C" &amp; TEXT($J11, "0"))</f>
        <v>2024-11-06</v>
      </c>
      <c r="L11" s="1">
        <f>RTD("tos.rtd", , "VOLUME", "." &amp; $A$2 &amp; $B$2 &amp; "P" &amp; TEXT($J11, "0"))</f>
        <v>30466</v>
      </c>
      <c r="M11" s="1">
        <f>RTD("tos.rtd", , "DELTA", "." &amp; $A$2 &amp; $B$2 &amp; "P" &amp; TEXT($J11, "0"))</f>
        <v>-0.66</v>
      </c>
      <c r="N11" s="1">
        <f>RTD("tos.rtd", , "OPEN_INT", "." &amp; $A$2 &amp; $B$2 &amp; "P" &amp; TEXT($J11, "0"))</f>
        <v>87</v>
      </c>
      <c r="O11" s="1">
        <f>RTD("tos.rtd", , "GAMMA", "." &amp; $A$2 &amp; $B$2 &amp; "P" &amp; TEXT($J11, "0"))</f>
        <v>0.18</v>
      </c>
      <c r="P11" s="1">
        <f>RTD("tos.rtd", , "THETA", "." &amp; $A$2 &amp; $B$2 &amp; "P" &amp; TEXT($J11, "0"))</f>
        <v>-0.47</v>
      </c>
      <c r="Q11" s="1">
        <f>RTD("tos.rtd", , "ASK", "." &amp; $A$2 &amp; $B$2 &amp; "P" &amp; TEXT($J11, "0"))</f>
        <v>1.33</v>
      </c>
      <c r="R11" s="4"/>
      <c r="S11" s="1">
        <f t="shared" si="1"/>
        <v>502</v>
      </c>
      <c r="T11">
        <f t="shared" si="2"/>
        <v>20749.555705416824</v>
      </c>
      <c r="U11" t="str">
        <f t="shared" si="3"/>
        <v>20749.5 20749.5 #GOLD @50 "502"</v>
      </c>
    </row>
    <row r="12" spans="1:23" x14ac:dyDescent="0.25">
      <c r="A12" s="4"/>
      <c r="B12" s="4"/>
      <c r="C12" s="4"/>
      <c r="D12" s="1">
        <f>RTD("tos.rtd", , "ASK", "." &amp; $A$2 &amp; $B$2 &amp; "C" &amp; TEXT($J12, "0"))</f>
        <v>0.19</v>
      </c>
      <c r="E12" s="1">
        <f>RTD("tos.rtd", , "VOLUME", "." &amp; $A$2 &amp; $B$2 &amp; "C" &amp; TEXT($J12, "0"))</f>
        <v>61449</v>
      </c>
      <c r="F12" s="1">
        <f>RTD("tos.rtd", , "DELTA", "." &amp; $A$2 &amp; $B$2 &amp; "C" &amp; TEXT($J12, "0"))</f>
        <v>0.18</v>
      </c>
      <c r="G12" s="1">
        <f>RTD("tos.rtd", , "OPEN_INT", "." &amp; $A$2 &amp; $B$2 &amp; "C" &amp; TEXT($J12, "0"))</f>
        <v>3400</v>
      </c>
      <c r="H12" s="1">
        <f>RTD("tos.rtd", , "GAMMA", "." &amp; $A$2 &amp; $B$2 &amp; "C" &amp; TEXT($J12, "0"))</f>
        <v>0.13</v>
      </c>
      <c r="I12" s="1">
        <f>RTD("tos.rtd", , "THETA", "." &amp; $A$2 &amp; $B$2 &amp; "C" &amp; TEXT($J12, "0"))</f>
        <v>-0.19</v>
      </c>
      <c r="J12" s="1">
        <f t="shared" si="0"/>
        <v>506</v>
      </c>
      <c r="K12" s="1" t="str">
        <f>RTD("tos.rtd", , "EXPIRATION_DAY", "." &amp; $A$2 &amp; $B$2 &amp; "C" &amp; TEXT($J12, "0"))</f>
        <v>2024-11-06</v>
      </c>
      <c r="L12" s="1">
        <f>RTD("tos.rtd", , "VOLUME", "." &amp; $A$2 &amp; $B$2 &amp; "P" &amp; TEXT($J12, "0"))</f>
        <v>2866</v>
      </c>
      <c r="M12" s="1">
        <f>RTD("tos.rtd", , "DELTA", "." &amp; $A$2 &amp; $B$2 &amp; "P" &amp; TEXT($J12, "0"))</f>
        <v>-0.81</v>
      </c>
      <c r="N12" s="1">
        <f>RTD("tos.rtd", , "OPEN_INT", "." &amp; $A$2 &amp; $B$2 &amp; "P" &amp; TEXT($J12, "0"))</f>
        <v>30</v>
      </c>
      <c r="O12" s="1">
        <f>RTD("tos.rtd", , "GAMMA", "." &amp; $A$2 &amp; $B$2 &amp; "P" &amp; TEXT($J12, "0"))</f>
        <v>0.13</v>
      </c>
      <c r="P12" s="1">
        <f>RTD("tos.rtd", , "THETA", "." &amp; $A$2 &amp; $B$2 &amp; "P" &amp; TEXT($J12, "0"))</f>
        <v>-0.21</v>
      </c>
      <c r="Q12" s="1">
        <f>RTD("tos.rtd", , "ASK", "." &amp; $A$2 &amp; $B$2 &amp; "P" &amp; TEXT($J12, "0"))</f>
        <v>2.1</v>
      </c>
      <c r="R12" s="4"/>
      <c r="S12" s="1">
        <f t="shared" si="1"/>
        <v>503</v>
      </c>
      <c r="T12">
        <f t="shared" si="2"/>
        <v>20790.889481722435</v>
      </c>
      <c r="U12" t="str">
        <f t="shared" si="3"/>
        <v>20791 20791 #GOLD @50 "503"</v>
      </c>
    </row>
    <row r="13" spans="1:23" x14ac:dyDescent="0.25">
      <c r="A13" s="4"/>
      <c r="B13" s="4"/>
      <c r="C13" s="4"/>
      <c r="D13" s="1">
        <f>RTD("tos.rtd", , "ASK", "." &amp; $A$2 &amp; $B$2 &amp; "C" &amp; TEXT($J13, "0"))</f>
        <v>0.08</v>
      </c>
      <c r="E13" s="1">
        <f>RTD("tos.rtd", , "VOLUME", "." &amp; $A$2 &amp; $B$2 &amp; "C" &amp; TEXT($J13, "0"))</f>
        <v>28917</v>
      </c>
      <c r="F13" s="1">
        <f>RTD("tos.rtd", , "DELTA", "." &amp; $A$2 &amp; $B$2 &amp; "C" &amp; TEXT($J13, "0"))</f>
        <v>0.08</v>
      </c>
      <c r="G13" s="1">
        <f>RTD("tos.rtd", , "OPEN_INT", "." &amp; $A$2 &amp; $B$2 &amp; "C" &amp; TEXT($J13, "0"))</f>
        <v>2778</v>
      </c>
      <c r="H13" s="1">
        <f>RTD("tos.rtd", , "GAMMA", "." &amp; $A$2 &amp; $B$2 &amp; "C" &amp; TEXT($J13, "0"))</f>
        <v>7.0000000000000007E-2</v>
      </c>
      <c r="I13" s="1">
        <f>RTD("tos.rtd", , "THETA", "." &amp; $A$2 &amp; $B$2 &amp; "C" &amp; TEXT($J13, "0"))</f>
        <v>-0.08</v>
      </c>
      <c r="J13" s="1">
        <f t="shared" si="0"/>
        <v>507</v>
      </c>
      <c r="K13" s="1" t="str">
        <f>RTD("tos.rtd", , "EXPIRATION_DAY", "." &amp; $A$2 &amp; $B$2 &amp; "C" &amp; TEXT($J13, "0"))</f>
        <v>2024-11-06</v>
      </c>
      <c r="L13" s="1">
        <f>RTD("tos.rtd", , "VOLUME", "." &amp; $A$2 &amp; $B$2 &amp; "P" &amp; TEXT($J13, "0"))</f>
        <v>1039</v>
      </c>
      <c r="M13" s="1">
        <f>RTD("tos.rtd", , "DELTA", "." &amp; $A$2 &amp; $B$2 &amp; "P" &amp; TEXT($J13, "0"))</f>
        <v>-0.9</v>
      </c>
      <c r="N13" s="1">
        <f>RTD("tos.rtd", , "OPEN_INT", "." &amp; $A$2 &amp; $B$2 &amp; "P" &amp; TEXT($J13, "0"))</f>
        <v>23</v>
      </c>
      <c r="O13" s="1">
        <f>RTD("tos.rtd", , "GAMMA", "." &amp; $A$2 &amp; $B$2 &amp; "P" &amp; TEXT($J13, "0"))</f>
        <v>7.0000000000000007E-2</v>
      </c>
      <c r="P13" s="1">
        <f>RTD("tos.rtd", , "THETA", "." &amp; $A$2 &amp; $B$2 &amp; "P" &amp; TEXT($J13, "0"))</f>
        <v>-0.09</v>
      </c>
      <c r="Q13" s="1">
        <f>RTD("tos.rtd", , "ASK", "." &amp; $A$2 &amp; $B$2 &amp; "P" &amp; TEXT($J13, "0"))</f>
        <v>3.03</v>
      </c>
      <c r="R13" s="4"/>
      <c r="S13" s="1">
        <f t="shared" si="1"/>
        <v>504</v>
      </c>
      <c r="T13">
        <f t="shared" si="2"/>
        <v>20832.223258028047</v>
      </c>
      <c r="U13" t="str">
        <f t="shared" si="3"/>
        <v>20832.25 20832.25 #GOLD @50 "504"</v>
      </c>
    </row>
    <row r="14" spans="1:23" x14ac:dyDescent="0.25">
      <c r="A14" s="4"/>
      <c r="B14" s="4"/>
      <c r="C14" s="4"/>
      <c r="D14" s="1">
        <f>RTD("tos.rtd", , "ASK", "." &amp; $A$2 &amp; $B$2 &amp; "C" &amp; TEXT($J14, "0"))</f>
        <v>0.03</v>
      </c>
      <c r="E14" s="1">
        <f>RTD("tos.rtd", , "VOLUME", "." &amp; $A$2 &amp; $B$2 &amp; "C" &amp; TEXT($J14, "0"))</f>
        <v>26100</v>
      </c>
      <c r="F14" s="1">
        <f>RTD("tos.rtd", , "DELTA", "." &amp; $A$2 &amp; $B$2 &amp; "C" &amp; TEXT($J14, "0"))</f>
        <v>0.03</v>
      </c>
      <c r="G14" s="1">
        <f>RTD("tos.rtd", , "OPEN_INT", "." &amp; $A$2 &amp; $B$2 &amp; "C" &amp; TEXT($J14, "0"))</f>
        <v>1861</v>
      </c>
      <c r="H14" s="1">
        <f>RTD("tos.rtd", , "GAMMA", "." &amp; $A$2 &amp; $B$2 &amp; "C" &amp; TEXT($J14, "0"))</f>
        <v>0.03</v>
      </c>
      <c r="I14" s="1">
        <f>RTD("tos.rtd", , "THETA", "." &amp; $A$2 &amp; $B$2 &amp; "C" &amp; TEXT($J14, "0"))</f>
        <v>-0.03</v>
      </c>
      <c r="J14" s="1">
        <f t="shared" si="0"/>
        <v>508</v>
      </c>
      <c r="K14" s="1" t="str">
        <f>RTD("tos.rtd", , "EXPIRATION_DAY", "." &amp; $A$2 &amp; $B$2 &amp; "C" &amp; TEXT($J14, "0"))</f>
        <v>2024-11-06</v>
      </c>
      <c r="L14" s="1">
        <f>RTD("tos.rtd", , "VOLUME", "." &amp; $A$2 &amp; $B$2 &amp; "P" &amp; TEXT($J14, "0"))</f>
        <v>87</v>
      </c>
      <c r="M14" s="1">
        <f>RTD("tos.rtd", , "DELTA", "." &amp; $A$2 &amp; $B$2 &amp; "P" &amp; TEXT($J14, "0"))</f>
        <v>-0.92</v>
      </c>
      <c r="N14" s="1">
        <f>RTD("tos.rtd", , "OPEN_INT", "." &amp; $A$2 &amp; $B$2 &amp; "P" &amp; TEXT($J14, "0"))</f>
        <v>9</v>
      </c>
      <c r="O14" s="1">
        <f>RTD("tos.rtd", , "GAMMA", "." &amp; $A$2 &amp; $B$2 &amp; "P" &amp; TEXT($J14, "0"))</f>
        <v>0.05</v>
      </c>
      <c r="P14" s="1">
        <f>RTD("tos.rtd", , "THETA", "." &amp; $A$2 &amp; $B$2 &amp; "P" &amp; TEXT($J14, "0"))</f>
        <v>-0.08</v>
      </c>
      <c r="Q14" s="1">
        <f>RTD("tos.rtd", , "ASK", "." &amp; $A$2 &amp; $B$2 &amp; "P" &amp; TEXT($J14, "0"))</f>
        <v>4.1399999999999997</v>
      </c>
      <c r="R14" s="4"/>
      <c r="S14" s="1">
        <f t="shared" si="1"/>
        <v>505</v>
      </c>
      <c r="T14">
        <f t="shared" si="2"/>
        <v>20873.557034333659</v>
      </c>
      <c r="U14" t="str">
        <f t="shared" si="3"/>
        <v>20873.5 20873.5 #GOLD @50 "505"</v>
      </c>
    </row>
    <row r="15" spans="1:23" x14ac:dyDescent="0.25">
      <c r="A15" s="4"/>
      <c r="B15" s="4"/>
      <c r="C15" s="4"/>
      <c r="D15" s="1">
        <f>RTD("tos.rtd", , "ASK", "." &amp; $A$2 &amp; $B$2 &amp; "C" &amp; TEXT($J15, "0"))</f>
        <v>0.02</v>
      </c>
      <c r="E15" s="1">
        <f>RTD("tos.rtd", , "VOLUME", "." &amp; $A$2 &amp; $B$2 &amp; "C" &amp; TEXT($J15, "0"))</f>
        <v>9458</v>
      </c>
      <c r="F15" s="1">
        <f>RTD("tos.rtd", , "DELTA", "." &amp; $A$2 &amp; $B$2 &amp; "C" &amp; TEXT($J15, "0"))</f>
        <v>0.02</v>
      </c>
      <c r="G15" s="1">
        <f>RTD("tos.rtd", , "OPEN_INT", "." &amp; $A$2 &amp; $B$2 &amp; "C" &amp; TEXT($J15, "0"))</f>
        <v>7026</v>
      </c>
      <c r="H15" s="1">
        <f>RTD("tos.rtd", , "GAMMA", "." &amp; $A$2 &amp; $B$2 &amp; "C" &amp; TEXT($J15, "0"))</f>
        <v>0.02</v>
      </c>
      <c r="I15" s="1">
        <f>RTD("tos.rtd", , "THETA", "." &amp; $A$2 &amp; $B$2 &amp; "C" &amp; TEXT($J15, "0"))</f>
        <v>-0.02</v>
      </c>
      <c r="J15" s="1">
        <f t="shared" si="0"/>
        <v>509</v>
      </c>
      <c r="K15" s="1" t="str">
        <f>RTD("tos.rtd", , "EXPIRATION_DAY", "." &amp; $A$2 &amp; $B$2 &amp; "C" &amp; TEXT($J15, "0"))</f>
        <v>2024-11-06</v>
      </c>
      <c r="L15" s="1">
        <f>RTD("tos.rtd", , "VOLUME", "." &amp; $A$2 &amp; $B$2 &amp; "P" &amp; TEXT($J15, "0"))</f>
        <v>23</v>
      </c>
      <c r="M15" s="1">
        <f>RTD("tos.rtd", , "DELTA", "." &amp; $A$2 &amp; $B$2 &amp; "P" &amp; TEXT($J15, "0"))</f>
        <v>-0.95</v>
      </c>
      <c r="N15" s="1">
        <f>RTD("tos.rtd", , "OPEN_INT", "." &amp; $A$2 &amp; $B$2 &amp; "P" &amp; TEXT($J15, "0"))</f>
        <v>2</v>
      </c>
      <c r="O15" s="1">
        <f>RTD("tos.rtd", , "GAMMA", "." &amp; $A$2 &amp; $B$2 &amp; "P" &amp; TEXT($J15, "0"))</f>
        <v>0.01</v>
      </c>
      <c r="P15" s="1">
        <f>RTD("tos.rtd", , "THETA", "." &amp; $A$2 &amp; $B$2 &amp; "P" &amp; TEXT($J15, "0"))</f>
        <v>-0.01</v>
      </c>
      <c r="Q15" s="1">
        <f>RTD("tos.rtd", , "ASK", "." &amp; $A$2 &amp; $B$2 &amp; "P" &amp; TEXT($J15, "0"))</f>
        <v>5.0999999999999996</v>
      </c>
      <c r="R15" s="4"/>
      <c r="S15" s="1">
        <f t="shared" si="1"/>
        <v>506</v>
      </c>
      <c r="T15">
        <f t="shared" si="2"/>
        <v>20914.89081063927</v>
      </c>
      <c r="U15" t="str">
        <f t="shared" si="3"/>
        <v>20915 20915 #GOLD @50 "506"</v>
      </c>
    </row>
    <row r="16" spans="1:23" x14ac:dyDescent="0.25">
      <c r="A16" s="4"/>
      <c r="B16" s="4"/>
      <c r="C16" s="4"/>
      <c r="D16" s="1">
        <f>RTD("tos.rtd", , "ASK", "." &amp; $A$2 &amp; $B$2 &amp; "C" &amp; TEXT($J16, "0"))</f>
        <v>0.01</v>
      </c>
      <c r="E16" s="1">
        <f>RTD("tos.rtd", , "VOLUME", "." &amp; $A$2 &amp; $B$2 &amp; "C" &amp; TEXT($J16, "0"))</f>
        <v>16876</v>
      </c>
      <c r="F16" s="1">
        <f>RTD("tos.rtd", , "DELTA", "." &amp; $A$2 &amp; $B$2 &amp; "C" &amp; TEXT($J16, "0"))</f>
        <v>0.01</v>
      </c>
      <c r="G16" s="1">
        <f>RTD("tos.rtd", , "OPEN_INT", "." &amp; $A$2 &amp; $B$2 &amp; "C" &amp; TEXT($J16, "0"))</f>
        <v>2860</v>
      </c>
      <c r="H16" s="1">
        <f>RTD("tos.rtd", , "GAMMA", "." &amp; $A$2 &amp; $B$2 &amp; "C" &amp; TEXT($J16, "0"))</f>
        <v>0.01</v>
      </c>
      <c r="I16" s="1">
        <f>RTD("tos.rtd", , "THETA", "." &amp; $A$2 &amp; $B$2 &amp; "C" &amp; TEXT($J16, "0"))</f>
        <v>-0.01</v>
      </c>
      <c r="J16" s="1">
        <f t="shared" si="0"/>
        <v>510</v>
      </c>
      <c r="K16" s="1" t="str">
        <f>RTD("tos.rtd", , "EXPIRATION_DAY", "." &amp; $A$2 &amp; $B$2 &amp; "C" &amp; TEXT($J16, "0"))</f>
        <v>2024-11-06</v>
      </c>
      <c r="L16" s="1">
        <f>RTD("tos.rtd", , "VOLUME", "." &amp; $A$2 &amp; $B$2 &amp; "P" &amp; TEXT($J16, "0"))</f>
        <v>119</v>
      </c>
      <c r="M16" s="1">
        <f>RTD("tos.rtd", , "DELTA", "." &amp; $A$2 &amp; $B$2 &amp; "P" &amp; TEXT($J16, "0"))</f>
        <v>-1</v>
      </c>
      <c r="N16" s="1">
        <f>RTD("tos.rtd", , "OPEN_INT", "." &amp; $A$2 &amp; $B$2 &amp; "P" &amp; TEXT($J16, "0"))</f>
        <v>23</v>
      </c>
      <c r="O16" s="1">
        <f>RTD("tos.rtd", , "GAMMA", "." &amp; $A$2 &amp; $B$2 &amp; "P" &amp; TEXT($J16, "0"))</f>
        <v>0</v>
      </c>
      <c r="P16" s="1">
        <f>RTD("tos.rtd", , "THETA", "." &amp; $A$2 &amp; $B$2 &amp; "P" &amp; TEXT($J16, "0"))</f>
        <v>0</v>
      </c>
      <c r="Q16" s="1">
        <f>RTD("tos.rtd", , "ASK", "." &amp; $A$2 &amp; $B$2 &amp; "P" &amp; TEXT($J16, "0"))</f>
        <v>5.98</v>
      </c>
      <c r="R16" s="4"/>
      <c r="S16" s="1">
        <f t="shared" si="1"/>
        <v>507</v>
      </c>
      <c r="T16">
        <f t="shared" si="2"/>
        <v>20956.224586944878</v>
      </c>
      <c r="U16" t="str">
        <f t="shared" si="3"/>
        <v>20956.25 20956.25 #GOLD @50 "507"</v>
      </c>
    </row>
    <row r="17" spans="1:21" x14ac:dyDescent="0.25">
      <c r="A17" s="4"/>
      <c r="B17" s="4"/>
      <c r="C17" s="4"/>
      <c r="D17" s="1">
        <f>RTD("tos.rtd", , "ASK", "." &amp; $A$2 &amp; $B$2 &amp; "C" &amp; TEXT($J17, "0"))</f>
        <v>0.01</v>
      </c>
      <c r="E17" s="1">
        <f>RTD("tos.rtd", , "VOLUME", "." &amp; $A$2 &amp; $B$2 &amp; "C" &amp; TEXT($J17, "0"))</f>
        <v>4556</v>
      </c>
      <c r="F17" s="1">
        <f>RTD("tos.rtd", , "DELTA", "." &amp; $A$2 &amp; $B$2 &amp; "C" &amp; TEXT($J17, "0"))</f>
        <v>0.01</v>
      </c>
      <c r="G17" s="1">
        <f>RTD("tos.rtd", , "OPEN_INT", "." &amp; $A$2 &amp; $B$2 &amp; "C" &amp; TEXT($J17, "0"))</f>
        <v>1901</v>
      </c>
      <c r="H17" s="1">
        <f>RTD("tos.rtd", , "GAMMA", "." &amp; $A$2 &amp; $B$2 &amp; "C" &amp; TEXT($J17, "0"))</f>
        <v>0.01</v>
      </c>
      <c r="I17" s="1">
        <f>RTD("tos.rtd", , "THETA", "." &amp; $A$2 &amp; $B$2 &amp; "C" &amp; TEXT($J17, "0"))</f>
        <v>-0.01</v>
      </c>
      <c r="J17" s="1">
        <f t="shared" si="0"/>
        <v>511</v>
      </c>
      <c r="K17" s="1" t="str">
        <f>RTD("tos.rtd", , "EXPIRATION_DAY", "." &amp; $A$2 &amp; $B$2 &amp; "C" &amp; TEXT($J17, "0"))</f>
        <v>2024-11-06</v>
      </c>
      <c r="L17" s="1">
        <f>RTD("tos.rtd", , "VOLUME", "." &amp; $A$2 &amp; $B$2 &amp; "P" &amp; TEXT($J17, "0"))</f>
        <v>548</v>
      </c>
      <c r="M17" s="1">
        <f>RTD("tos.rtd", , "DELTA", "." &amp; $A$2 &amp; $B$2 &amp; "P" &amp; TEXT($J17, "0"))</f>
        <v>-0.95</v>
      </c>
      <c r="N17" s="1">
        <f>RTD("tos.rtd", , "OPEN_INT", "." &amp; $A$2 &amp; $B$2 &amp; "P" &amp; TEXT($J17, "0"))</f>
        <v>0</v>
      </c>
      <c r="O17" s="1">
        <f>RTD("tos.rtd", , "GAMMA", "." &amp; $A$2 &amp; $B$2 &amp; "P" &amp; TEXT($J17, "0"))</f>
        <v>0.01</v>
      </c>
      <c r="P17" s="1">
        <f>RTD("tos.rtd", , "THETA", "." &amp; $A$2 &amp; $B$2 &amp; "P" &amp; TEXT($J17, "0"))</f>
        <v>-0.04</v>
      </c>
      <c r="Q17" s="1">
        <f>RTD("tos.rtd", , "ASK", "." &amp; $A$2 &amp; $B$2 &amp; "P" &amp; TEXT($J17, "0"))</f>
        <v>7.1</v>
      </c>
      <c r="R17" s="4"/>
      <c r="S17" s="1">
        <f t="shared" si="1"/>
        <v>508</v>
      </c>
      <c r="T17">
        <f t="shared" si="2"/>
        <v>20997.558363250489</v>
      </c>
      <c r="U17" t="str">
        <f t="shared" si="3"/>
        <v>20997.5 20997.5 #GOLD @50 "508"</v>
      </c>
    </row>
    <row r="18" spans="1:21" x14ac:dyDescent="0.25">
      <c r="A18" s="4"/>
      <c r="B18" s="4"/>
      <c r="C18" s="4"/>
      <c r="D18" s="1">
        <f>RTD("tos.rtd", , "ASK", "." &amp; $A$2 &amp; $B$2 &amp; "C" &amp; TEXT($J18, "0"))</f>
        <v>0.01</v>
      </c>
      <c r="E18" s="1">
        <f>RTD("tos.rtd", , "VOLUME", "." &amp; $A$2 &amp; $B$2 &amp; "C" &amp; TEXT($J18, "0"))</f>
        <v>6688</v>
      </c>
      <c r="F18" s="1">
        <f>RTD("tos.rtd", , "DELTA", "." &amp; $A$2 &amp; $B$2 &amp; "C" &amp; TEXT($J18, "0"))</f>
        <v>0.01</v>
      </c>
      <c r="G18" s="1">
        <f>RTD("tos.rtd", , "OPEN_INT", "." &amp; $A$2 &amp; $B$2 &amp; "C" &amp; TEXT($J18, "0"))</f>
        <v>849</v>
      </c>
      <c r="H18" s="1">
        <f>RTD("tos.rtd", , "GAMMA", "." &amp; $A$2 &amp; $B$2 &amp; "C" &amp; TEXT($J18, "0"))</f>
        <v>0</v>
      </c>
      <c r="I18" s="1">
        <f>RTD("tos.rtd", , "THETA", "." &amp; $A$2 &amp; $B$2 &amp; "C" &amp; TEXT($J18, "0"))</f>
        <v>-0.01</v>
      </c>
      <c r="J18" s="1">
        <f t="shared" si="0"/>
        <v>512</v>
      </c>
      <c r="K18" s="1" t="str">
        <f>RTD("tos.rtd", , "EXPIRATION_DAY", "." &amp; $A$2 &amp; $B$2 &amp; "C" &amp; TEXT($J18, "0"))</f>
        <v>2024-11-06</v>
      </c>
      <c r="L18" s="1">
        <f>RTD("tos.rtd", , "VOLUME", "." &amp; $A$2 &amp; $B$2 &amp; "P" &amp; TEXT($J18, "0"))</f>
        <v>6</v>
      </c>
      <c r="M18" s="1">
        <f>RTD("tos.rtd", , "DELTA", "." &amp; $A$2 &amp; $B$2 &amp; "P" &amp; TEXT($J18, "0"))</f>
        <v>-0.95</v>
      </c>
      <c r="N18" s="1">
        <f>RTD("tos.rtd", , "OPEN_INT", "." &amp; $A$2 &amp; $B$2 &amp; "P" &amp; TEXT($J18, "0"))</f>
        <v>0</v>
      </c>
      <c r="O18" s="1">
        <f>RTD("tos.rtd", , "GAMMA", "." &amp; $A$2 &amp; $B$2 &amp; "P" &amp; TEXT($J18, "0"))</f>
        <v>0.01</v>
      </c>
      <c r="P18" s="1">
        <f>RTD("tos.rtd", , "THETA", "." &amp; $A$2 &amp; $B$2 &amp; "P" &amp; TEXT($J18, "0"))</f>
        <v>-0.02</v>
      </c>
      <c r="Q18" s="1">
        <f>RTD("tos.rtd", , "ASK", "." &amp; $A$2 &amp; $B$2 &amp; "P" &amp; TEXT($J18, "0"))</f>
        <v>8.11</v>
      </c>
      <c r="R18" s="4"/>
      <c r="S18" s="1">
        <f t="shared" si="1"/>
        <v>509</v>
      </c>
      <c r="T18">
        <f t="shared" si="2"/>
        <v>21038.892139556101</v>
      </c>
      <c r="U18" t="str">
        <f t="shared" si="3"/>
        <v>21039 21039 #GOLD @50 "509"</v>
      </c>
    </row>
    <row r="19" spans="1:2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1">
        <f t="shared" si="1"/>
        <v>510</v>
      </c>
      <c r="T19">
        <f t="shared" si="2"/>
        <v>21080.225915861713</v>
      </c>
      <c r="U19" t="str">
        <f t="shared" si="3"/>
        <v>21080.25 21080.25 #GOLD @50 "510"</v>
      </c>
    </row>
    <row r="20" spans="1:2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1">
        <f t="shared" si="1"/>
        <v>511</v>
      </c>
      <c r="T20">
        <f t="shared" si="2"/>
        <v>21121.559692167324</v>
      </c>
      <c r="U20" t="str">
        <f t="shared" si="3"/>
        <v>21121.5 21121.5 #GOLD @50 "511"</v>
      </c>
    </row>
    <row r="21" spans="1:2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8"/>
      <c r="S21" s="1">
        <f t="shared" si="1"/>
        <v>512</v>
      </c>
      <c r="T21">
        <f t="shared" si="2"/>
        <v>21162.893468472936</v>
      </c>
      <c r="U21" t="str">
        <f t="shared" si="3"/>
        <v>21163 21163 #GOLD @50 "512"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BB10B-B27C-469C-8BAE-4A5283043A31}">
  <dimension ref="A1:T245"/>
  <sheetViews>
    <sheetView workbookViewId="0">
      <selection activeCell="Q133" sqref="Q133"/>
    </sheetView>
  </sheetViews>
  <sheetFormatPr defaultRowHeight="15" x14ac:dyDescent="0.25"/>
  <sheetData>
    <row r="1" spans="1:20" x14ac:dyDescent="0.25">
      <c r="A1" t="s">
        <v>104</v>
      </c>
    </row>
    <row r="2" spans="1:20" x14ac:dyDescent="0.25">
      <c r="A2" t="s">
        <v>17</v>
      </c>
    </row>
    <row r="3" spans="1:20" x14ac:dyDescent="0.25">
      <c r="A3" t="s">
        <v>18</v>
      </c>
      <c r="B3" t="s">
        <v>19</v>
      </c>
      <c r="C3" t="s">
        <v>20</v>
      </c>
      <c r="D3" t="s">
        <v>21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 t="s">
        <v>29</v>
      </c>
    </row>
    <row r="4" spans="1:20" x14ac:dyDescent="0.25">
      <c r="A4">
        <f>RTD("tos.rtd", , "LAST", "SPX")</f>
        <v>5915.69</v>
      </c>
      <c r="B4" t="str">
        <f>RTD("tos.rtd", , "LX", "SPX")</f>
        <v/>
      </c>
      <c r="C4">
        <f>RTD("tos.rtd", , "NET_CHANGE", "SPX")</f>
        <v>132.93</v>
      </c>
      <c r="D4">
        <f>RTD("tos.rtd", , "BID", "SPX")</f>
        <v>5914.15</v>
      </c>
      <c r="E4" t="str">
        <f>RTD("tos.rtd", , "BX", "SPX")</f>
        <v/>
      </c>
      <c r="F4">
        <f>RTD("tos.rtd", , "ASK", "SPX")</f>
        <v>5917.24</v>
      </c>
      <c r="G4" t="str">
        <f>RTD("tos.rtd", , "AX", "SPX")</f>
        <v/>
      </c>
      <c r="H4" t="str">
        <f>RTD("tos.rtd", , "BA_SIZE", "SPX")</f>
        <v>N/A</v>
      </c>
      <c r="I4" t="str">
        <f>RTD("tos.rtd", , "VOLUME", "SPX")</f>
        <v>N/A</v>
      </c>
      <c r="J4">
        <f>RTD("tos.rtd", , "OPEN", "SPX")</f>
        <v>5864.89</v>
      </c>
      <c r="K4">
        <f>RTD("tos.rtd", , "HIGH", "SPX")</f>
        <v>5917.88</v>
      </c>
      <c r="L4">
        <f>RTD("tos.rtd", , "LOW", "SPX")</f>
        <v>5864.89</v>
      </c>
    </row>
    <row r="5" spans="1:20" x14ac:dyDescent="0.25">
      <c r="A5" t="s">
        <v>30</v>
      </c>
    </row>
    <row r="6" spans="1:20" x14ac:dyDescent="0.25">
      <c r="A6" t="s">
        <v>31</v>
      </c>
      <c r="B6" t="s">
        <v>32</v>
      </c>
      <c r="C6" t="s">
        <v>33</v>
      </c>
      <c r="D6" t="s">
        <v>34</v>
      </c>
      <c r="E6" t="s">
        <v>35</v>
      </c>
      <c r="F6" t="s">
        <v>36</v>
      </c>
      <c r="G6" t="s">
        <v>37</v>
      </c>
      <c r="H6" t="s">
        <v>38</v>
      </c>
      <c r="I6" t="s">
        <v>39</v>
      </c>
      <c r="J6" t="s">
        <v>40</v>
      </c>
    </row>
    <row r="7" spans="1:20" x14ac:dyDescent="0.25">
      <c r="A7">
        <f>RTD("tos.rtd", , "LAST_SIZE", "SPX")</f>
        <v>0</v>
      </c>
      <c r="B7" t="str">
        <f>RTD("tos.rtd", , "YIELD", "SPX")</f>
        <v>N/A</v>
      </c>
      <c r="C7" t="str">
        <f>RTD("tos.rtd", , "PE", "SPX")</f>
        <v>N/A</v>
      </c>
      <c r="D7" t="str">
        <f>RTD("tos.rtd", , "DIV", "SPX")</f>
        <v>N/A</v>
      </c>
      <c r="E7" t="s">
        <v>41</v>
      </c>
      <c r="F7" t="str">
        <f>RTD("tos.rtd", , "EX_DIV_DATE", "SPX")</f>
        <v>N/A</v>
      </c>
      <c r="G7">
        <f>RTD("tos.rtd", , "52HIGH", "SPX")</f>
        <v>5878.46</v>
      </c>
      <c r="H7">
        <f>RTD("tos.rtd", , "52LOW", "SPX")</f>
        <v>4343.9399999999996</v>
      </c>
      <c r="I7">
        <f>RTD("tos.rtd", , "SHARES", "SPX")</f>
        <v>0</v>
      </c>
      <c r="J7">
        <f>RTD("tos.rtd", , "STOCK_BETA", "SPX")</f>
        <v>1</v>
      </c>
    </row>
    <row r="8" spans="1:20" x14ac:dyDescent="0.25">
      <c r="A8" t="s">
        <v>42</v>
      </c>
    </row>
    <row r="9" spans="1:20" x14ac:dyDescent="0.25">
      <c r="C9" t="s">
        <v>26</v>
      </c>
      <c r="D9" t="s">
        <v>43</v>
      </c>
      <c r="E9" t="s">
        <v>44</v>
      </c>
      <c r="F9" t="s">
        <v>45</v>
      </c>
      <c r="G9" t="s">
        <v>21</v>
      </c>
      <c r="H9" t="s">
        <v>22</v>
      </c>
      <c r="I9" t="s">
        <v>23</v>
      </c>
      <c r="J9" t="s">
        <v>24</v>
      </c>
      <c r="K9" t="s">
        <v>14</v>
      </c>
      <c r="L9" t="s">
        <v>0</v>
      </c>
      <c r="M9" t="s">
        <v>21</v>
      </c>
      <c r="N9" t="s">
        <v>22</v>
      </c>
      <c r="O9" t="s">
        <v>23</v>
      </c>
      <c r="P9" t="s">
        <v>24</v>
      </c>
      <c r="Q9" t="s">
        <v>26</v>
      </c>
      <c r="R9" t="s">
        <v>43</v>
      </c>
      <c r="S9" t="s">
        <v>44</v>
      </c>
      <c r="T9" t="s">
        <v>45</v>
      </c>
    </row>
    <row r="10" spans="1:20" x14ac:dyDescent="0.25">
      <c r="C10" t="str">
        <f>RTD("tos.rtd", , "VOLUME", ".SPXW240129C1200")</f>
        <v>N/A</v>
      </c>
      <c r="D10">
        <f>RTD("tos.rtd", , "OPEN_INT", ".SPXW240129C1200")</f>
        <v>0</v>
      </c>
      <c r="E10">
        <f>RTD("tos.rtd", , "DELTA", ".SPXW240129C1200")</f>
        <v>1</v>
      </c>
      <c r="F10">
        <f>RTD("tos.rtd", , "GAMMA", ".SPXW240129C1200")</f>
        <v>0</v>
      </c>
      <c r="G10">
        <f>RTD("tos.rtd", , "BID", ".SPXW240129C1200")</f>
        <v>3719.3</v>
      </c>
      <c r="H10" t="str">
        <f>RTD("tos.rtd", , "BX", ".SPXW240129C1200")</f>
        <v>C</v>
      </c>
      <c r="I10">
        <f>RTD("tos.rtd", , "ASK", ".SPXW240129C1200")</f>
        <v>3737.7</v>
      </c>
      <c r="J10" t="str">
        <f>RTD("tos.rtd", , "AX", ".SPXW240129C1200")</f>
        <v>C</v>
      </c>
      <c r="K10" t="str">
        <f>RTD("tos.rtd", , "EXPIRATION_DAY", ".SPXW240129C1200")</f>
        <v>2024-01-29</v>
      </c>
      <c r="L10">
        <f>RTD("tos.rtd", , "STRIKE", ".SPXW240129C1200")</f>
        <v>1200</v>
      </c>
      <c r="M10">
        <f>RTD("tos.rtd", , "BID", ".SPXW240129P1200")</f>
        <v>0</v>
      </c>
      <c r="N10" t="str">
        <f>RTD("tos.rtd", , "BX", ".SPXW240129P1200")</f>
        <v>C</v>
      </c>
      <c r="O10">
        <f>RTD("tos.rtd", , "ASK", ".SPXW240129P1200")</f>
        <v>0.05</v>
      </c>
      <c r="P10" t="str">
        <f>RTD("tos.rtd", , "AX", ".SPXW240129P1200")</f>
        <v>C</v>
      </c>
      <c r="Q10" t="str">
        <f>RTD("tos.rtd", , "VOLUME", ".SPXW240129P1200")</f>
        <v>N/A</v>
      </c>
      <c r="R10">
        <f>RTD("tos.rtd", , "OPEN_INT", ".SPXW240129P1200")</f>
        <v>0</v>
      </c>
      <c r="S10">
        <f>RTD("tos.rtd", , "DELTA", ".SPXW240129P1200")</f>
        <v>0</v>
      </c>
      <c r="T10">
        <f>RTD("tos.rtd", , "GAMMA", ".SPXW240129P1200")</f>
        <v>0</v>
      </c>
    </row>
    <row r="11" spans="1:20" x14ac:dyDescent="0.25">
      <c r="C11" t="str">
        <f>RTD("tos.rtd", , "VOLUME", ".SPXW240129C1400")</f>
        <v>N/A</v>
      </c>
      <c r="D11">
        <f>RTD("tos.rtd", , "OPEN_INT", ".SPXW240129C1400")</f>
        <v>0</v>
      </c>
      <c r="E11">
        <f>RTD("tos.rtd", , "DELTA", ".SPXW240129C1400")</f>
        <v>1</v>
      </c>
      <c r="F11">
        <f>RTD("tos.rtd", , "GAMMA", ".SPXW240129C1400")</f>
        <v>0</v>
      </c>
      <c r="G11">
        <f>RTD("tos.rtd", , "BID", ".SPXW240129C1400")</f>
        <v>3519.3</v>
      </c>
      <c r="H11" t="str">
        <f>RTD("tos.rtd", , "BX", ".SPXW240129C1400")</f>
        <v>C</v>
      </c>
      <c r="I11">
        <f>RTD("tos.rtd", , "ASK", ".SPXW240129C1400")</f>
        <v>3537.7</v>
      </c>
      <c r="J11" t="str">
        <f>RTD("tos.rtd", , "AX", ".SPXW240129C1400")</f>
        <v>C</v>
      </c>
      <c r="K11" t="str">
        <f>RTD("tos.rtd", , "EXPIRATION_DAY", ".SPXW240129C1400")</f>
        <v>2024-01-29</v>
      </c>
      <c r="L11">
        <f>RTD("tos.rtd", , "STRIKE", ".SPXW240129C1400")</f>
        <v>1400</v>
      </c>
      <c r="M11">
        <f>RTD("tos.rtd", , "BID", ".SPXW240129P1400")</f>
        <v>0</v>
      </c>
      <c r="N11" t="str">
        <f>RTD("tos.rtd", , "BX", ".SPXW240129P1400")</f>
        <v>C</v>
      </c>
      <c r="O11">
        <f>RTD("tos.rtd", , "ASK", ".SPXW240129P1400")</f>
        <v>0.05</v>
      </c>
      <c r="P11" t="str">
        <f>RTD("tos.rtd", , "AX", ".SPXW240129P1400")</f>
        <v>C</v>
      </c>
      <c r="Q11" t="str">
        <f>RTD("tos.rtd", , "VOLUME", ".SPXW240129P1400")</f>
        <v>N/A</v>
      </c>
      <c r="R11">
        <f>RTD("tos.rtd", , "OPEN_INT", ".SPXW240129P1400")</f>
        <v>0</v>
      </c>
      <c r="S11">
        <f>RTD("tos.rtd", , "DELTA", ".SPXW240129P1400")</f>
        <v>0</v>
      </c>
      <c r="T11">
        <f>RTD("tos.rtd", , "GAMMA", ".SPXW240129P1400")</f>
        <v>0</v>
      </c>
    </row>
    <row r="12" spans="1:20" x14ac:dyDescent="0.25">
      <c r="C12" t="str">
        <f>RTD("tos.rtd", , "VOLUME", ".SPXW240129C1600")</f>
        <v>N/A</v>
      </c>
      <c r="D12">
        <f>RTD("tos.rtd", , "OPEN_INT", ".SPXW240129C1600")</f>
        <v>0</v>
      </c>
      <c r="E12">
        <f>RTD("tos.rtd", , "DELTA", ".SPXW240129C1600")</f>
        <v>1</v>
      </c>
      <c r="F12">
        <f>RTD("tos.rtd", , "GAMMA", ".SPXW240129C1600")</f>
        <v>0</v>
      </c>
      <c r="G12">
        <f>RTD("tos.rtd", , "BID", ".SPXW240129C1600")</f>
        <v>3319.3</v>
      </c>
      <c r="H12" t="str">
        <f>RTD("tos.rtd", , "BX", ".SPXW240129C1600")</f>
        <v>C</v>
      </c>
      <c r="I12">
        <f>RTD("tos.rtd", , "ASK", ".SPXW240129C1600")</f>
        <v>3337.5</v>
      </c>
      <c r="J12" t="str">
        <f>RTD("tos.rtd", , "AX", ".SPXW240129C1600")</f>
        <v>C</v>
      </c>
      <c r="K12" t="str">
        <f>RTD("tos.rtd", , "EXPIRATION_DAY", ".SPXW240129C1600")</f>
        <v>2024-01-29</v>
      </c>
      <c r="L12">
        <f>RTD("tos.rtd", , "STRIKE", ".SPXW240129C1600")</f>
        <v>1600</v>
      </c>
      <c r="M12">
        <f>RTD("tos.rtd", , "BID", ".SPXW240129P1600")</f>
        <v>0</v>
      </c>
      <c r="N12" t="str">
        <f>RTD("tos.rtd", , "BX", ".SPXW240129P1600")</f>
        <v>C</v>
      </c>
      <c r="O12">
        <f>RTD("tos.rtd", , "ASK", ".SPXW240129P1600")</f>
        <v>0.05</v>
      </c>
      <c r="P12" t="str">
        <f>RTD("tos.rtd", , "AX", ".SPXW240129P1600")</f>
        <v>C</v>
      </c>
      <c r="Q12" t="str">
        <f>RTD("tos.rtd", , "VOLUME", ".SPXW240129P1600")</f>
        <v>N/A</v>
      </c>
      <c r="R12">
        <f>RTD("tos.rtd", , "OPEN_INT", ".SPXW240129P1600")</f>
        <v>0</v>
      </c>
      <c r="S12">
        <f>RTD("tos.rtd", , "DELTA", ".SPXW240129P1600")</f>
        <v>0</v>
      </c>
      <c r="T12">
        <f>RTD("tos.rtd", , "GAMMA", ".SPXW240129P1600")</f>
        <v>0</v>
      </c>
    </row>
    <row r="13" spans="1:20" x14ac:dyDescent="0.25">
      <c r="C13" t="str">
        <f>RTD("tos.rtd", , "VOLUME", ".SPXW240129C1800")</f>
        <v>N/A</v>
      </c>
      <c r="D13">
        <f>RTD("tos.rtd", , "OPEN_INT", ".SPXW240129C1800")</f>
        <v>0</v>
      </c>
      <c r="E13">
        <f>RTD("tos.rtd", , "DELTA", ".SPXW240129C1800")</f>
        <v>1</v>
      </c>
      <c r="F13">
        <f>RTD("tos.rtd", , "GAMMA", ".SPXW240129C1800")</f>
        <v>0</v>
      </c>
      <c r="G13">
        <f>RTD("tos.rtd", , "BID", ".SPXW240129C1800")</f>
        <v>3119.3</v>
      </c>
      <c r="H13" t="str">
        <f>RTD("tos.rtd", , "BX", ".SPXW240129C1800")</f>
        <v>C</v>
      </c>
      <c r="I13">
        <f>RTD("tos.rtd", , "ASK", ".SPXW240129C1800")</f>
        <v>3137.7</v>
      </c>
      <c r="J13" t="str">
        <f>RTD("tos.rtd", , "AX", ".SPXW240129C1800")</f>
        <v>C</v>
      </c>
      <c r="K13" t="str">
        <f>RTD("tos.rtd", , "EXPIRATION_DAY", ".SPXW240129C1800")</f>
        <v>2024-01-29</v>
      </c>
      <c r="L13">
        <f>RTD("tos.rtd", , "STRIKE", ".SPXW240129C1800")</f>
        <v>1800</v>
      </c>
      <c r="M13">
        <f>RTD("tos.rtd", , "BID", ".SPXW240129P1800")</f>
        <v>0</v>
      </c>
      <c r="N13" t="str">
        <f>RTD("tos.rtd", , "BX", ".SPXW240129P1800")</f>
        <v>C</v>
      </c>
      <c r="O13">
        <f>RTD("tos.rtd", , "ASK", ".SPXW240129P1800")</f>
        <v>0.05</v>
      </c>
      <c r="P13" t="str">
        <f>RTD("tos.rtd", , "AX", ".SPXW240129P1800")</f>
        <v>C</v>
      </c>
      <c r="Q13" t="str">
        <f>RTD("tos.rtd", , "VOLUME", ".SPXW240129P1800")</f>
        <v>N/A</v>
      </c>
      <c r="R13">
        <f>RTD("tos.rtd", , "OPEN_INT", ".SPXW240129P1800")</f>
        <v>0</v>
      </c>
      <c r="S13">
        <f>RTD("tos.rtd", , "DELTA", ".SPXW240129P1800")</f>
        <v>0</v>
      </c>
      <c r="T13">
        <f>RTD("tos.rtd", , "GAMMA", ".SPXW240129P1800")</f>
        <v>0</v>
      </c>
    </row>
    <row r="14" spans="1:20" x14ac:dyDescent="0.25">
      <c r="C14" t="str">
        <f>RTD("tos.rtd", , "VOLUME", ".SPXW240129C2000")</f>
        <v>N/A</v>
      </c>
      <c r="D14">
        <f>RTD("tos.rtd", , "OPEN_INT", ".SPXW240129C2000")</f>
        <v>0</v>
      </c>
      <c r="E14">
        <f>RTD("tos.rtd", , "DELTA", ".SPXW240129C2000")</f>
        <v>1</v>
      </c>
      <c r="F14">
        <f>RTD("tos.rtd", , "GAMMA", ".SPXW240129C2000")</f>
        <v>0</v>
      </c>
      <c r="G14">
        <f>RTD("tos.rtd", , "BID", ".SPXW240129C2000")</f>
        <v>2919.3</v>
      </c>
      <c r="H14" t="str">
        <f>RTD("tos.rtd", , "BX", ".SPXW240129C2000")</f>
        <v>C</v>
      </c>
      <c r="I14">
        <f>RTD("tos.rtd", , "ASK", ".SPXW240129C2000")</f>
        <v>2937.7</v>
      </c>
      <c r="J14" t="str">
        <f>RTD("tos.rtd", , "AX", ".SPXW240129C2000")</f>
        <v>C</v>
      </c>
      <c r="K14" t="str">
        <f>RTD("tos.rtd", , "EXPIRATION_DAY", ".SPXW240129C2000")</f>
        <v>2024-01-29</v>
      </c>
      <c r="L14">
        <f>RTD("tos.rtd", , "STRIKE", ".SPXW240129C2000")</f>
        <v>2000</v>
      </c>
      <c r="M14">
        <f>RTD("tos.rtd", , "BID", ".SPXW240129P2000")</f>
        <v>0</v>
      </c>
      <c r="N14" t="str">
        <f>RTD("tos.rtd", , "BX", ".SPXW240129P2000")</f>
        <v>C</v>
      </c>
      <c r="O14">
        <f>RTD("tos.rtd", , "ASK", ".SPXW240129P2000")</f>
        <v>0.05</v>
      </c>
      <c r="P14" t="str">
        <f>RTD("tos.rtd", , "AX", ".SPXW240129P2000")</f>
        <v>C</v>
      </c>
      <c r="Q14" t="str">
        <f>RTD("tos.rtd", , "VOLUME", ".SPXW240129P2000")</f>
        <v>N/A</v>
      </c>
      <c r="R14">
        <f>RTD("tos.rtd", , "OPEN_INT", ".SPXW240129P2000")</f>
        <v>424</v>
      </c>
      <c r="S14">
        <f>RTD("tos.rtd", , "DELTA", ".SPXW240129P2000")</f>
        <v>0</v>
      </c>
      <c r="T14">
        <f>RTD("tos.rtd", , "GAMMA", ".SPXW240129P2000")</f>
        <v>0</v>
      </c>
    </row>
    <row r="15" spans="1:20" x14ac:dyDescent="0.25">
      <c r="C15" t="str">
        <f>RTD("tos.rtd", , "VOLUME", ".SPXW240129C2200")</f>
        <v>N/A</v>
      </c>
      <c r="D15">
        <f>RTD("tos.rtd", , "OPEN_INT", ".SPXW240129C2200")</f>
        <v>0</v>
      </c>
      <c r="E15">
        <f>RTD("tos.rtd", , "DELTA", ".SPXW240129C2200")</f>
        <v>1</v>
      </c>
      <c r="F15">
        <f>RTD("tos.rtd", , "GAMMA", ".SPXW240129C2200")</f>
        <v>0</v>
      </c>
      <c r="G15">
        <f>RTD("tos.rtd", , "BID", ".SPXW240129C2200")</f>
        <v>2719.3</v>
      </c>
      <c r="H15" t="str">
        <f>RTD("tos.rtd", , "BX", ".SPXW240129C2200")</f>
        <v>C</v>
      </c>
      <c r="I15">
        <f>RTD("tos.rtd", , "ASK", ".SPXW240129C2200")</f>
        <v>2737.7</v>
      </c>
      <c r="J15" t="str">
        <f>RTD("tos.rtd", , "AX", ".SPXW240129C2200")</f>
        <v>C</v>
      </c>
      <c r="K15" t="str">
        <f>RTD("tos.rtd", , "EXPIRATION_DAY", ".SPXW240129C2200")</f>
        <v>2024-01-29</v>
      </c>
      <c r="L15">
        <f>RTD("tos.rtd", , "STRIKE", ".SPXW240129C2200")</f>
        <v>2200</v>
      </c>
      <c r="M15">
        <f>RTD("tos.rtd", , "BID", ".SPXW240129P2200")</f>
        <v>0</v>
      </c>
      <c r="N15" t="str">
        <f>RTD("tos.rtd", , "BX", ".SPXW240129P2200")</f>
        <v>C</v>
      </c>
      <c r="O15">
        <f>RTD("tos.rtd", , "ASK", ".SPXW240129P2200")</f>
        <v>0.05</v>
      </c>
      <c r="P15" t="str">
        <f>RTD("tos.rtd", , "AX", ".SPXW240129P2200")</f>
        <v>C</v>
      </c>
      <c r="Q15" t="str">
        <f>RTD("tos.rtd", , "VOLUME", ".SPXW240129P2200")</f>
        <v>N/A</v>
      </c>
      <c r="R15">
        <f>RTD("tos.rtd", , "OPEN_INT", ".SPXW240129P2200")</f>
        <v>3</v>
      </c>
      <c r="S15">
        <f>RTD("tos.rtd", , "DELTA", ".SPXW240129P2200")</f>
        <v>0</v>
      </c>
      <c r="T15">
        <f>RTD("tos.rtd", , "GAMMA", ".SPXW240129P2200")</f>
        <v>0</v>
      </c>
    </row>
    <row r="16" spans="1:20" x14ac:dyDescent="0.25">
      <c r="C16" t="str">
        <f>RTD("tos.rtd", , "VOLUME", ".SPXW240129C2400")</f>
        <v>N/A</v>
      </c>
      <c r="D16">
        <f>RTD("tos.rtd", , "OPEN_INT", ".SPXW240129C2400")</f>
        <v>0</v>
      </c>
      <c r="E16">
        <f>RTD("tos.rtd", , "DELTA", ".SPXW240129C2400")</f>
        <v>1</v>
      </c>
      <c r="F16">
        <f>RTD("tos.rtd", , "GAMMA", ".SPXW240129C2400")</f>
        <v>0</v>
      </c>
      <c r="G16">
        <f>RTD("tos.rtd", , "BID", ".SPXW240129C2400")</f>
        <v>2519.3000000000002</v>
      </c>
      <c r="H16" t="str">
        <f>RTD("tos.rtd", , "BX", ".SPXW240129C2400")</f>
        <v>C</v>
      </c>
      <c r="I16">
        <f>RTD("tos.rtd", , "ASK", ".SPXW240129C2400")</f>
        <v>2537.6999999999998</v>
      </c>
      <c r="J16" t="str">
        <f>RTD("tos.rtd", , "AX", ".SPXW240129C2400")</f>
        <v>C</v>
      </c>
      <c r="K16" t="str">
        <f>RTD("tos.rtd", , "EXPIRATION_DAY", ".SPXW240129C2400")</f>
        <v>2024-01-29</v>
      </c>
      <c r="L16">
        <f>RTD("tos.rtd", , "STRIKE", ".SPXW240129C2400")</f>
        <v>2400</v>
      </c>
      <c r="M16">
        <f>RTD("tos.rtd", , "BID", ".SPXW240129P2400")</f>
        <v>0</v>
      </c>
      <c r="N16" t="str">
        <f>RTD("tos.rtd", , "BX", ".SPXW240129P2400")</f>
        <v>C</v>
      </c>
      <c r="O16">
        <f>RTD("tos.rtd", , "ASK", ".SPXW240129P2400")</f>
        <v>0.05</v>
      </c>
      <c r="P16" t="str">
        <f>RTD("tos.rtd", , "AX", ".SPXW240129P2400")</f>
        <v>C</v>
      </c>
      <c r="Q16" t="str">
        <f>RTD("tos.rtd", , "VOLUME", ".SPXW240129P2400")</f>
        <v>N/A</v>
      </c>
      <c r="R16">
        <f>RTD("tos.rtd", , "OPEN_INT", ".SPXW240129P2400")</f>
        <v>10</v>
      </c>
      <c r="S16">
        <f>RTD("tos.rtd", , "DELTA", ".SPXW240129P2400")</f>
        <v>0</v>
      </c>
      <c r="T16">
        <f>RTD("tos.rtd", , "GAMMA", ".SPXW240129P2400")</f>
        <v>0</v>
      </c>
    </row>
    <row r="17" spans="3:20" x14ac:dyDescent="0.25">
      <c r="C17" t="str">
        <f>RTD("tos.rtd", , "VOLUME", ".SPXW240129C2600")</f>
        <v>N/A</v>
      </c>
      <c r="D17">
        <f>RTD("tos.rtd", , "OPEN_INT", ".SPXW240129C2600")</f>
        <v>0</v>
      </c>
      <c r="E17">
        <f>RTD("tos.rtd", , "DELTA", ".SPXW240129C2600")</f>
        <v>1</v>
      </c>
      <c r="F17">
        <f>RTD("tos.rtd", , "GAMMA", ".SPXW240129C2600")</f>
        <v>0</v>
      </c>
      <c r="G17">
        <f>RTD("tos.rtd", , "BID", ".SPXW240129C2600")</f>
        <v>2319.3000000000002</v>
      </c>
      <c r="H17" t="str">
        <f>RTD("tos.rtd", , "BX", ".SPXW240129C2600")</f>
        <v>C</v>
      </c>
      <c r="I17">
        <f>RTD("tos.rtd", , "ASK", ".SPXW240129C2600")</f>
        <v>2337.6999999999998</v>
      </c>
      <c r="J17" t="str">
        <f>RTD("tos.rtd", , "AX", ".SPXW240129C2600")</f>
        <v>C</v>
      </c>
      <c r="K17" t="str">
        <f>RTD("tos.rtd", , "EXPIRATION_DAY", ".SPXW240129C2600")</f>
        <v>2024-01-29</v>
      </c>
      <c r="L17">
        <f>RTD("tos.rtd", , "STRIKE", ".SPXW240129C2600")</f>
        <v>2600</v>
      </c>
      <c r="M17">
        <f>RTD("tos.rtd", , "BID", ".SPXW240129P2600")</f>
        <v>0</v>
      </c>
      <c r="N17" t="str">
        <f>RTD("tos.rtd", , "BX", ".SPXW240129P2600")</f>
        <v>C</v>
      </c>
      <c r="O17">
        <f>RTD("tos.rtd", , "ASK", ".SPXW240129P2600")</f>
        <v>0.05</v>
      </c>
      <c r="P17" t="str">
        <f>RTD("tos.rtd", , "AX", ".SPXW240129P2600")</f>
        <v>C</v>
      </c>
      <c r="Q17" t="str">
        <f>RTD("tos.rtd", , "VOLUME", ".SPXW240129P2600")</f>
        <v>N/A</v>
      </c>
      <c r="R17">
        <f>RTD("tos.rtd", , "OPEN_INT", ".SPXW240129P2600")</f>
        <v>269</v>
      </c>
      <c r="S17">
        <f>RTD("tos.rtd", , "DELTA", ".SPXW240129P2600")</f>
        <v>0</v>
      </c>
      <c r="T17">
        <f>RTD("tos.rtd", , "GAMMA", ".SPXW240129P2600")</f>
        <v>0</v>
      </c>
    </row>
    <row r="18" spans="3:20" x14ac:dyDescent="0.25">
      <c r="C18" t="str">
        <f>RTD("tos.rtd", , "VOLUME", ".SPXW240129C2800")</f>
        <v>N/A</v>
      </c>
      <c r="D18">
        <f>RTD("tos.rtd", , "OPEN_INT", ".SPXW240129C2800")</f>
        <v>0</v>
      </c>
      <c r="E18">
        <f>RTD("tos.rtd", , "DELTA", ".SPXW240129C2800")</f>
        <v>1</v>
      </c>
      <c r="F18">
        <f>RTD("tos.rtd", , "GAMMA", ".SPXW240129C2800")</f>
        <v>0</v>
      </c>
      <c r="G18">
        <f>RTD("tos.rtd", , "BID", ".SPXW240129C2800")</f>
        <v>2119.3000000000002</v>
      </c>
      <c r="H18" t="str">
        <f>RTD("tos.rtd", , "BX", ".SPXW240129C2800")</f>
        <v>C</v>
      </c>
      <c r="I18">
        <f>RTD("tos.rtd", , "ASK", ".SPXW240129C2800")</f>
        <v>2137.6999999999998</v>
      </c>
      <c r="J18" t="str">
        <f>RTD("tos.rtd", , "AX", ".SPXW240129C2800")</f>
        <v>C</v>
      </c>
      <c r="K18" t="str">
        <f>RTD("tos.rtd", , "EXPIRATION_DAY", ".SPXW240129C2800")</f>
        <v>2024-01-29</v>
      </c>
      <c r="L18">
        <f>RTD("tos.rtd", , "STRIKE", ".SPXW240129C2800")</f>
        <v>2800</v>
      </c>
      <c r="M18">
        <f>RTD("tos.rtd", , "BID", ".SPXW240129P2800")</f>
        <v>0</v>
      </c>
      <c r="N18" t="str">
        <f>RTD("tos.rtd", , "BX", ".SPXW240129P2800")</f>
        <v>C</v>
      </c>
      <c r="O18">
        <f>RTD("tos.rtd", , "ASK", ".SPXW240129P2800")</f>
        <v>0.05</v>
      </c>
      <c r="P18" t="str">
        <f>RTD("tos.rtd", , "AX", ".SPXW240129P2800")</f>
        <v>C</v>
      </c>
      <c r="Q18" t="str">
        <f>RTD("tos.rtd", , "VOLUME", ".SPXW240129P2800")</f>
        <v>N/A</v>
      </c>
      <c r="R18">
        <f>RTD("tos.rtd", , "OPEN_INT", ".SPXW240129P2800")</f>
        <v>2</v>
      </c>
      <c r="S18">
        <f>RTD("tos.rtd", , "DELTA", ".SPXW240129P2800")</f>
        <v>0</v>
      </c>
      <c r="T18">
        <f>RTD("tos.rtd", , "GAMMA", ".SPXW240129P2800")</f>
        <v>0</v>
      </c>
    </row>
    <row r="19" spans="3:20" x14ac:dyDescent="0.25">
      <c r="C19" t="str">
        <f>RTD("tos.rtd", , "VOLUME", ".SPXW240129C3000")</f>
        <v>N/A</v>
      </c>
      <c r="D19">
        <f>RTD("tos.rtd", , "OPEN_INT", ".SPXW240129C3000")</f>
        <v>0</v>
      </c>
      <c r="E19">
        <f>RTD("tos.rtd", , "DELTA", ".SPXW240129C3000")</f>
        <v>1</v>
      </c>
      <c r="F19">
        <f>RTD("tos.rtd", , "GAMMA", ".SPXW240129C3000")</f>
        <v>0</v>
      </c>
      <c r="G19">
        <f>RTD("tos.rtd", , "BID", ".SPXW240129C3000")</f>
        <v>1919.3</v>
      </c>
      <c r="H19" t="str">
        <f>RTD("tos.rtd", , "BX", ".SPXW240129C3000")</f>
        <v>C</v>
      </c>
      <c r="I19">
        <f>RTD("tos.rtd", , "ASK", ".SPXW240129C3000")</f>
        <v>1937.3</v>
      </c>
      <c r="J19" t="str">
        <f>RTD("tos.rtd", , "AX", ".SPXW240129C3000")</f>
        <v>C</v>
      </c>
      <c r="K19" t="str">
        <f>RTD("tos.rtd", , "EXPIRATION_DAY", ".SPXW240129C3000")</f>
        <v>2024-01-29</v>
      </c>
      <c r="L19">
        <f>RTD("tos.rtd", , "STRIKE", ".SPXW240129C3000")</f>
        <v>3000</v>
      </c>
      <c r="M19">
        <f>RTD("tos.rtd", , "BID", ".SPXW240129P3000")</f>
        <v>0</v>
      </c>
      <c r="N19" t="str">
        <f>RTD("tos.rtd", , "BX", ".SPXW240129P3000")</f>
        <v>C</v>
      </c>
      <c r="O19">
        <f>RTD("tos.rtd", , "ASK", ".SPXW240129P3000")</f>
        <v>0.05</v>
      </c>
      <c r="P19" t="str">
        <f>RTD("tos.rtd", , "AX", ".SPXW240129P3000")</f>
        <v>C</v>
      </c>
      <c r="Q19" t="str">
        <f>RTD("tos.rtd", , "VOLUME", ".SPXW240129P3000")</f>
        <v>N/A</v>
      </c>
      <c r="R19">
        <f>RTD("tos.rtd", , "OPEN_INT", ".SPXW240129P3000")</f>
        <v>82</v>
      </c>
      <c r="S19">
        <f>RTD("tos.rtd", , "DELTA", ".SPXW240129P3000")</f>
        <v>0</v>
      </c>
      <c r="T19">
        <f>RTD("tos.rtd", , "GAMMA", ".SPXW240129P3000")</f>
        <v>0</v>
      </c>
    </row>
    <row r="20" spans="3:20" x14ac:dyDescent="0.25">
      <c r="C20" t="str">
        <f>RTD("tos.rtd", , "VOLUME", ".SPXW240129C3200")</f>
        <v>N/A</v>
      </c>
      <c r="D20">
        <f>RTD("tos.rtd", , "OPEN_INT", ".SPXW240129C3200")</f>
        <v>0</v>
      </c>
      <c r="E20">
        <f>RTD("tos.rtd", , "DELTA", ".SPXW240129C3200")</f>
        <v>1</v>
      </c>
      <c r="F20">
        <f>RTD("tos.rtd", , "GAMMA", ".SPXW240129C3200")</f>
        <v>0</v>
      </c>
      <c r="G20">
        <f>RTD("tos.rtd", , "BID", ".SPXW240129C3200")</f>
        <v>1719.3</v>
      </c>
      <c r="H20" t="str">
        <f>RTD("tos.rtd", , "BX", ".SPXW240129C3200")</f>
        <v>C</v>
      </c>
      <c r="I20">
        <f>RTD("tos.rtd", , "ASK", ".SPXW240129C3200")</f>
        <v>1737.7</v>
      </c>
      <c r="J20" t="str">
        <f>RTD("tos.rtd", , "AX", ".SPXW240129C3200")</f>
        <v>C</v>
      </c>
      <c r="K20" t="str">
        <f>RTD("tos.rtd", , "EXPIRATION_DAY", ".SPXW240129C3200")</f>
        <v>2024-01-29</v>
      </c>
      <c r="L20">
        <f>RTD("tos.rtd", , "STRIKE", ".SPXW240129C3200")</f>
        <v>3200</v>
      </c>
      <c r="M20">
        <f>RTD("tos.rtd", , "BID", ".SPXW240129P3200")</f>
        <v>0</v>
      </c>
      <c r="N20" t="str">
        <f>RTD("tos.rtd", , "BX", ".SPXW240129P3200")</f>
        <v>C</v>
      </c>
      <c r="O20">
        <f>RTD("tos.rtd", , "ASK", ".SPXW240129P3200")</f>
        <v>0.05</v>
      </c>
      <c r="P20" t="str">
        <f>RTD("tos.rtd", , "AX", ".SPXW240129P3200")</f>
        <v>C</v>
      </c>
      <c r="Q20" t="str">
        <f>RTD("tos.rtd", , "VOLUME", ".SPXW240129P3200")</f>
        <v>N/A</v>
      </c>
      <c r="R20">
        <f>RTD("tos.rtd", , "OPEN_INT", ".SPXW240129P3200")</f>
        <v>149</v>
      </c>
      <c r="S20">
        <f>RTD("tos.rtd", , "DELTA", ".SPXW240129P3200")</f>
        <v>0</v>
      </c>
      <c r="T20">
        <f>RTD("tos.rtd", , "GAMMA", ".SPXW240129P3200")</f>
        <v>0</v>
      </c>
    </row>
    <row r="21" spans="3:20" x14ac:dyDescent="0.25">
      <c r="C21" t="str">
        <f>RTD("tos.rtd", , "VOLUME", ".SPXW240129C3400")</f>
        <v>N/A</v>
      </c>
      <c r="D21">
        <f>RTD("tos.rtd", , "OPEN_INT", ".SPXW240129C3400")</f>
        <v>0</v>
      </c>
      <c r="E21">
        <f>RTD("tos.rtd", , "DELTA", ".SPXW240129C3400")</f>
        <v>1</v>
      </c>
      <c r="F21">
        <f>RTD("tos.rtd", , "GAMMA", ".SPXW240129C3400")</f>
        <v>0</v>
      </c>
      <c r="G21">
        <f>RTD("tos.rtd", , "BID", ".SPXW240129C3400")</f>
        <v>1519.3</v>
      </c>
      <c r="H21" t="str">
        <f>RTD("tos.rtd", , "BX", ".SPXW240129C3400")</f>
        <v>C</v>
      </c>
      <c r="I21">
        <f>RTD("tos.rtd", , "ASK", ".SPXW240129C3400")</f>
        <v>1537.7</v>
      </c>
      <c r="J21" t="str">
        <f>RTD("tos.rtd", , "AX", ".SPXW240129C3400")</f>
        <v>C</v>
      </c>
      <c r="K21" t="str">
        <f>RTD("tos.rtd", , "EXPIRATION_DAY", ".SPXW240129C3400")</f>
        <v>2024-01-29</v>
      </c>
      <c r="L21">
        <f>RTD("tos.rtd", , "STRIKE", ".SPXW240129C3400")</f>
        <v>3400</v>
      </c>
      <c r="M21">
        <f>RTD("tos.rtd", , "BID", ".SPXW240129P3400")</f>
        <v>0</v>
      </c>
      <c r="N21" t="str">
        <f>RTD("tos.rtd", , "BX", ".SPXW240129P3400")</f>
        <v>C</v>
      </c>
      <c r="O21">
        <f>RTD("tos.rtd", , "ASK", ".SPXW240129P3400")</f>
        <v>0.05</v>
      </c>
      <c r="P21" t="str">
        <f>RTD("tos.rtd", , "AX", ".SPXW240129P3400")</f>
        <v>C</v>
      </c>
      <c r="Q21" t="str">
        <f>RTD("tos.rtd", , "VOLUME", ".SPXW240129P3400")</f>
        <v>N/A</v>
      </c>
      <c r="R21">
        <f>RTD("tos.rtd", , "OPEN_INT", ".SPXW240129P3400")</f>
        <v>49</v>
      </c>
      <c r="S21">
        <f>RTD("tos.rtd", , "DELTA", ".SPXW240129P3400")</f>
        <v>0</v>
      </c>
      <c r="T21">
        <f>RTD("tos.rtd", , "GAMMA", ".SPXW240129P3400")</f>
        <v>0</v>
      </c>
    </row>
    <row r="22" spans="3:20" x14ac:dyDescent="0.25">
      <c r="C22" t="str">
        <f>RTD("tos.rtd", , "VOLUME", ".SPXW240129C3500")</f>
        <v>N/A</v>
      </c>
      <c r="D22">
        <f>RTD("tos.rtd", , "OPEN_INT", ".SPXW240129C3500")</f>
        <v>0</v>
      </c>
      <c r="E22">
        <f>RTD("tos.rtd", , "DELTA", ".SPXW240129C3500")</f>
        <v>1</v>
      </c>
      <c r="F22">
        <f>RTD("tos.rtd", , "GAMMA", ".SPXW240129C3500")</f>
        <v>0</v>
      </c>
      <c r="G22">
        <f>RTD("tos.rtd", , "BID", ".SPXW240129C3500")</f>
        <v>1419.3</v>
      </c>
      <c r="H22" t="str">
        <f>RTD("tos.rtd", , "BX", ".SPXW240129C3500")</f>
        <v>C</v>
      </c>
      <c r="I22">
        <f>RTD("tos.rtd", , "ASK", ".SPXW240129C3500")</f>
        <v>1437.7</v>
      </c>
      <c r="J22" t="str">
        <f>RTD("tos.rtd", , "AX", ".SPXW240129C3500")</f>
        <v>C</v>
      </c>
      <c r="K22" t="str">
        <f>RTD("tos.rtd", , "EXPIRATION_DAY", ".SPXW240129C3500")</f>
        <v>2024-01-29</v>
      </c>
      <c r="L22">
        <f>RTD("tos.rtd", , "STRIKE", ".SPXW240129C3500")</f>
        <v>3500</v>
      </c>
      <c r="M22">
        <f>RTD("tos.rtd", , "BID", ".SPXW240129P3500")</f>
        <v>0</v>
      </c>
      <c r="N22" t="str">
        <f>RTD("tos.rtd", , "BX", ".SPXW240129P3500")</f>
        <v>C</v>
      </c>
      <c r="O22">
        <f>RTD("tos.rtd", , "ASK", ".SPXW240129P3500")</f>
        <v>0.05</v>
      </c>
      <c r="P22" t="str">
        <f>RTD("tos.rtd", , "AX", ".SPXW240129P3500")</f>
        <v>C</v>
      </c>
      <c r="Q22" t="str">
        <f>RTD("tos.rtd", , "VOLUME", ".SPXW240129P3500")</f>
        <v>N/A</v>
      </c>
      <c r="R22">
        <f>RTD("tos.rtd", , "OPEN_INT", ".SPXW240129P3500")</f>
        <v>861</v>
      </c>
      <c r="S22">
        <f>RTD("tos.rtd", , "DELTA", ".SPXW240129P3500")</f>
        <v>0</v>
      </c>
      <c r="T22">
        <f>RTD("tos.rtd", , "GAMMA", ".SPXW240129P3500")</f>
        <v>0</v>
      </c>
    </row>
    <row r="23" spans="3:20" x14ac:dyDescent="0.25">
      <c r="C23" t="str">
        <f>RTD("tos.rtd", , "VOLUME", ".SPXW240129C3600")</f>
        <v>N/A</v>
      </c>
      <c r="D23">
        <f>RTD("tos.rtd", , "OPEN_INT", ".SPXW240129C3600")</f>
        <v>0</v>
      </c>
      <c r="E23">
        <f>RTD("tos.rtd", , "DELTA", ".SPXW240129C3600")</f>
        <v>1</v>
      </c>
      <c r="F23">
        <f>RTD("tos.rtd", , "GAMMA", ".SPXW240129C3600")</f>
        <v>0</v>
      </c>
      <c r="G23">
        <f>RTD("tos.rtd", , "BID", ".SPXW240129C3600")</f>
        <v>1319.3</v>
      </c>
      <c r="H23" t="str">
        <f>RTD("tos.rtd", , "BX", ".SPXW240129C3600")</f>
        <v>C</v>
      </c>
      <c r="I23">
        <f>RTD("tos.rtd", , "ASK", ".SPXW240129C3600")</f>
        <v>1337.7</v>
      </c>
      <c r="J23" t="str">
        <f>RTD("tos.rtd", , "AX", ".SPXW240129C3600")</f>
        <v>C</v>
      </c>
      <c r="K23" t="str">
        <f>RTD("tos.rtd", , "EXPIRATION_DAY", ".SPXW240129C3600")</f>
        <v>2024-01-29</v>
      </c>
      <c r="L23">
        <f>RTD("tos.rtd", , "STRIKE", ".SPXW240129C3600")</f>
        <v>3600</v>
      </c>
      <c r="M23">
        <f>RTD("tos.rtd", , "BID", ".SPXW240129P3600")</f>
        <v>0</v>
      </c>
      <c r="N23" t="str">
        <f>RTD("tos.rtd", , "BX", ".SPXW240129P3600")</f>
        <v>C</v>
      </c>
      <c r="O23">
        <f>RTD("tos.rtd", , "ASK", ".SPXW240129P3600")</f>
        <v>0.05</v>
      </c>
      <c r="P23" t="str">
        <f>RTD("tos.rtd", , "AX", ".SPXW240129P3600")</f>
        <v>C</v>
      </c>
      <c r="Q23" t="str">
        <f>RTD("tos.rtd", , "VOLUME", ".SPXW240129P3600")</f>
        <v>N/A</v>
      </c>
      <c r="R23">
        <f>RTD("tos.rtd", , "OPEN_INT", ".SPXW240129P3600")</f>
        <v>3630</v>
      </c>
      <c r="S23">
        <f>RTD("tos.rtd", , "DELTA", ".SPXW240129P3600")</f>
        <v>0</v>
      </c>
      <c r="T23">
        <f>RTD("tos.rtd", , "GAMMA", ".SPXW240129P3600")</f>
        <v>0</v>
      </c>
    </row>
    <row r="24" spans="3:20" x14ac:dyDescent="0.25">
      <c r="C24" t="str">
        <f>RTD("tos.rtd", , "VOLUME", ".SPXW240129C3650")</f>
        <v>N/A</v>
      </c>
      <c r="D24">
        <f>RTD("tos.rtd", , "OPEN_INT", ".SPXW240129C3650")</f>
        <v>0</v>
      </c>
      <c r="E24">
        <f>RTD("tos.rtd", , "DELTA", ".SPXW240129C3650")</f>
        <v>1</v>
      </c>
      <c r="F24">
        <f>RTD("tos.rtd", , "GAMMA", ".SPXW240129C3650")</f>
        <v>0</v>
      </c>
      <c r="G24">
        <f>RTD("tos.rtd", , "BID", ".SPXW240129C3650")</f>
        <v>1269.3</v>
      </c>
      <c r="H24" t="str">
        <f>RTD("tos.rtd", , "BX", ".SPXW240129C3650")</f>
        <v>C</v>
      </c>
      <c r="I24">
        <f>RTD("tos.rtd", , "ASK", ".SPXW240129C3650")</f>
        <v>1287.7</v>
      </c>
      <c r="J24" t="str">
        <f>RTD("tos.rtd", , "AX", ".SPXW240129C3650")</f>
        <v>C</v>
      </c>
      <c r="K24" t="str">
        <f>RTD("tos.rtd", , "EXPIRATION_DAY", ".SPXW240129C3650")</f>
        <v>2024-01-29</v>
      </c>
      <c r="L24">
        <f>RTD("tos.rtd", , "STRIKE", ".SPXW240129C3650")</f>
        <v>3650</v>
      </c>
      <c r="M24">
        <f>RTD("tos.rtd", , "BID", ".SPXW240129P3650")</f>
        <v>0</v>
      </c>
      <c r="N24" t="str">
        <f>RTD("tos.rtd", , "BX", ".SPXW240129P3650")</f>
        <v>C</v>
      </c>
      <c r="O24">
        <f>RTD("tos.rtd", , "ASK", ".SPXW240129P3650")</f>
        <v>0.05</v>
      </c>
      <c r="P24" t="str">
        <f>RTD("tos.rtd", , "AX", ".SPXW240129P3650")</f>
        <v>C</v>
      </c>
      <c r="Q24" t="str">
        <f>RTD("tos.rtd", , "VOLUME", ".SPXW240129P3650")</f>
        <v>N/A</v>
      </c>
      <c r="R24">
        <f>RTD("tos.rtd", , "OPEN_INT", ".SPXW240129P3650")</f>
        <v>2185</v>
      </c>
      <c r="S24">
        <f>RTD("tos.rtd", , "DELTA", ".SPXW240129P3650")</f>
        <v>0</v>
      </c>
      <c r="T24">
        <f>RTD("tos.rtd", , "GAMMA", ".SPXW240129P3650")</f>
        <v>0</v>
      </c>
    </row>
    <row r="25" spans="3:20" x14ac:dyDescent="0.25">
      <c r="C25" t="str">
        <f>RTD("tos.rtd", , "VOLUME", ".SPXW240129C3700")</f>
        <v>N/A</v>
      </c>
      <c r="D25">
        <f>RTD("tos.rtd", , "OPEN_INT", ".SPXW240129C3700")</f>
        <v>0</v>
      </c>
      <c r="E25">
        <f>RTD("tos.rtd", , "DELTA", ".SPXW240129C3700")</f>
        <v>1</v>
      </c>
      <c r="F25">
        <f>RTD("tos.rtd", , "GAMMA", ".SPXW240129C3700")</f>
        <v>0</v>
      </c>
      <c r="G25">
        <f>RTD("tos.rtd", , "BID", ".SPXW240129C3700")</f>
        <v>1219.3</v>
      </c>
      <c r="H25" t="str">
        <f>RTD("tos.rtd", , "BX", ".SPXW240129C3700")</f>
        <v>C</v>
      </c>
      <c r="I25">
        <f>RTD("tos.rtd", , "ASK", ".SPXW240129C3700")</f>
        <v>1237.7</v>
      </c>
      <c r="J25" t="str">
        <f>RTD("tos.rtd", , "AX", ".SPXW240129C3700")</f>
        <v>C</v>
      </c>
      <c r="K25" t="str">
        <f>RTD("tos.rtd", , "EXPIRATION_DAY", ".SPXW240129C3700")</f>
        <v>2024-01-29</v>
      </c>
      <c r="L25">
        <f>RTD("tos.rtd", , "STRIKE", ".SPXW240129C3700")</f>
        <v>3700</v>
      </c>
      <c r="M25">
        <f>RTD("tos.rtd", , "BID", ".SPXW240129P3700")</f>
        <v>0</v>
      </c>
      <c r="N25" t="str">
        <f>RTD("tos.rtd", , "BX", ".SPXW240129P3700")</f>
        <v>C</v>
      </c>
      <c r="O25">
        <f>RTD("tos.rtd", , "ASK", ".SPXW240129P3700")</f>
        <v>0.05</v>
      </c>
      <c r="P25" t="str">
        <f>RTD("tos.rtd", , "AX", ".SPXW240129P3700")</f>
        <v>C</v>
      </c>
      <c r="Q25" t="str">
        <f>RTD("tos.rtd", , "VOLUME", ".SPXW240129P3700")</f>
        <v>N/A</v>
      </c>
      <c r="R25">
        <f>RTD("tos.rtd", , "OPEN_INT", ".SPXW240129P3700")</f>
        <v>2653</v>
      </c>
      <c r="S25">
        <f>RTD("tos.rtd", , "DELTA", ".SPXW240129P3700")</f>
        <v>0</v>
      </c>
      <c r="T25">
        <f>RTD("tos.rtd", , "GAMMA", ".SPXW240129P3700")</f>
        <v>0</v>
      </c>
    </row>
    <row r="26" spans="3:20" x14ac:dyDescent="0.25">
      <c r="C26" t="str">
        <f>RTD("tos.rtd", , "VOLUME", ".SPXW240129C3750")</f>
        <v>N/A</v>
      </c>
      <c r="D26">
        <f>RTD("tos.rtd", , "OPEN_INT", ".SPXW240129C3750")</f>
        <v>0</v>
      </c>
      <c r="E26">
        <f>RTD("tos.rtd", , "DELTA", ".SPXW240129C3750")</f>
        <v>1</v>
      </c>
      <c r="F26">
        <f>RTD("tos.rtd", , "GAMMA", ".SPXW240129C3750")</f>
        <v>0</v>
      </c>
      <c r="G26">
        <f>RTD("tos.rtd", , "BID", ".SPXW240129C3750")</f>
        <v>1169.3</v>
      </c>
      <c r="H26" t="str">
        <f>RTD("tos.rtd", , "BX", ".SPXW240129C3750")</f>
        <v>C</v>
      </c>
      <c r="I26">
        <f>RTD("tos.rtd", , "ASK", ".SPXW240129C3750")</f>
        <v>1187.7</v>
      </c>
      <c r="J26" t="str">
        <f>RTD("tos.rtd", , "AX", ".SPXW240129C3750")</f>
        <v>C</v>
      </c>
      <c r="K26" t="str">
        <f>RTD("tos.rtd", , "EXPIRATION_DAY", ".SPXW240129C3750")</f>
        <v>2024-01-29</v>
      </c>
      <c r="L26">
        <f>RTD("tos.rtd", , "STRIKE", ".SPXW240129C3750")</f>
        <v>3750</v>
      </c>
      <c r="M26">
        <f>RTD("tos.rtd", , "BID", ".SPXW240129P3750")</f>
        <v>0</v>
      </c>
      <c r="N26" t="str">
        <f>RTD("tos.rtd", , "BX", ".SPXW240129P3750")</f>
        <v>C</v>
      </c>
      <c r="O26">
        <f>RTD("tos.rtd", , "ASK", ".SPXW240129P3750")</f>
        <v>0.05</v>
      </c>
      <c r="P26" t="str">
        <f>RTD("tos.rtd", , "AX", ".SPXW240129P3750")</f>
        <v>C</v>
      </c>
      <c r="Q26" t="str">
        <f>RTD("tos.rtd", , "VOLUME", ".SPXW240129P3750")</f>
        <v>N/A</v>
      </c>
      <c r="R26">
        <f>RTD("tos.rtd", , "OPEN_INT", ".SPXW240129P3750")</f>
        <v>979</v>
      </c>
      <c r="S26">
        <f>RTD("tos.rtd", , "DELTA", ".SPXW240129P3750")</f>
        <v>0</v>
      </c>
      <c r="T26">
        <f>RTD("tos.rtd", , "GAMMA", ".SPXW240129P3750")</f>
        <v>0</v>
      </c>
    </row>
    <row r="27" spans="3:20" x14ac:dyDescent="0.25">
      <c r="C27" t="str">
        <f>RTD("tos.rtd", , "VOLUME", ".SPXW240129C3800")</f>
        <v>N/A</v>
      </c>
      <c r="D27">
        <f>RTD("tos.rtd", , "OPEN_INT", ".SPXW240129C3800")</f>
        <v>0</v>
      </c>
      <c r="E27">
        <f>RTD("tos.rtd", , "DELTA", ".SPXW240129C3800")</f>
        <v>1</v>
      </c>
      <c r="F27">
        <f>RTD("tos.rtd", , "GAMMA", ".SPXW240129C3800")</f>
        <v>0</v>
      </c>
      <c r="G27">
        <f>RTD("tos.rtd", , "BID", ".SPXW240129C3800")</f>
        <v>1119.3</v>
      </c>
      <c r="H27" t="str">
        <f>RTD("tos.rtd", , "BX", ".SPXW240129C3800")</f>
        <v>C</v>
      </c>
      <c r="I27">
        <f>RTD("tos.rtd", , "ASK", ".SPXW240129C3800")</f>
        <v>1137.7</v>
      </c>
      <c r="J27" t="str">
        <f>RTD("tos.rtd", , "AX", ".SPXW240129C3800")</f>
        <v>C</v>
      </c>
      <c r="K27" t="str">
        <f>RTD("tos.rtd", , "EXPIRATION_DAY", ".SPXW240129C3800")</f>
        <v>2024-01-29</v>
      </c>
      <c r="L27">
        <f>RTD("tos.rtd", , "STRIKE", ".SPXW240129C3800")</f>
        <v>3800</v>
      </c>
      <c r="M27">
        <f>RTD("tos.rtd", , "BID", ".SPXW240129P3800")</f>
        <v>0</v>
      </c>
      <c r="N27" t="str">
        <f>RTD("tos.rtd", , "BX", ".SPXW240129P3800")</f>
        <v>C</v>
      </c>
      <c r="O27">
        <f>RTD("tos.rtd", , "ASK", ".SPXW240129P3800")</f>
        <v>0.05</v>
      </c>
      <c r="P27" t="str">
        <f>RTD("tos.rtd", , "AX", ".SPXW240129P3800")</f>
        <v>C</v>
      </c>
      <c r="Q27" t="str">
        <f>RTD("tos.rtd", , "VOLUME", ".SPXW240129P3800")</f>
        <v>N/A</v>
      </c>
      <c r="R27">
        <f>RTD("tos.rtd", , "OPEN_INT", ".SPXW240129P3800")</f>
        <v>1789</v>
      </c>
      <c r="S27">
        <f>RTD("tos.rtd", , "DELTA", ".SPXW240129P3800")</f>
        <v>0</v>
      </c>
      <c r="T27">
        <f>RTD("tos.rtd", , "GAMMA", ".SPXW240129P3800")</f>
        <v>0</v>
      </c>
    </row>
    <row r="28" spans="3:20" x14ac:dyDescent="0.25">
      <c r="C28" t="str">
        <f>RTD("tos.rtd", , "VOLUME", ".SPXW240129C3850")</f>
        <v>N/A</v>
      </c>
      <c r="D28">
        <f>RTD("tos.rtd", , "OPEN_INT", ".SPXW240129C3850")</f>
        <v>0</v>
      </c>
      <c r="E28">
        <f>RTD("tos.rtd", , "DELTA", ".SPXW240129C3850")</f>
        <v>1</v>
      </c>
      <c r="F28">
        <f>RTD("tos.rtd", , "GAMMA", ".SPXW240129C3850")</f>
        <v>0</v>
      </c>
      <c r="G28">
        <f>RTD("tos.rtd", , "BID", ".SPXW240129C3850")</f>
        <v>1069.3</v>
      </c>
      <c r="H28" t="str">
        <f>RTD("tos.rtd", , "BX", ".SPXW240129C3850")</f>
        <v>C</v>
      </c>
      <c r="I28">
        <f>RTD("tos.rtd", , "ASK", ".SPXW240129C3850")</f>
        <v>1087.7</v>
      </c>
      <c r="J28" t="str">
        <f>RTD("tos.rtd", , "AX", ".SPXW240129C3850")</f>
        <v>C</v>
      </c>
      <c r="K28" t="str">
        <f>RTD("tos.rtd", , "EXPIRATION_DAY", ".SPXW240129C3850")</f>
        <v>2024-01-29</v>
      </c>
      <c r="L28">
        <f>RTD("tos.rtd", , "STRIKE", ".SPXW240129C3850")</f>
        <v>3850</v>
      </c>
      <c r="M28">
        <f>RTD("tos.rtd", , "BID", ".SPXW240129P3850")</f>
        <v>0</v>
      </c>
      <c r="N28" t="str">
        <f>RTD("tos.rtd", , "BX", ".SPXW240129P3850")</f>
        <v>C</v>
      </c>
      <c r="O28">
        <f>RTD("tos.rtd", , "ASK", ".SPXW240129P3850")</f>
        <v>0.05</v>
      </c>
      <c r="P28" t="str">
        <f>RTD("tos.rtd", , "AX", ".SPXW240129P3850")</f>
        <v>C</v>
      </c>
      <c r="Q28" t="str">
        <f>RTD("tos.rtd", , "VOLUME", ".SPXW240129P3850")</f>
        <v>N/A</v>
      </c>
      <c r="R28">
        <f>RTD("tos.rtd", , "OPEN_INT", ".SPXW240129P3850")</f>
        <v>7299</v>
      </c>
      <c r="S28">
        <f>RTD("tos.rtd", , "DELTA", ".SPXW240129P3850")</f>
        <v>0</v>
      </c>
      <c r="T28">
        <f>RTD("tos.rtd", , "GAMMA", ".SPXW240129P3850")</f>
        <v>0</v>
      </c>
    </row>
    <row r="29" spans="3:20" x14ac:dyDescent="0.25">
      <c r="C29" t="str">
        <f>RTD("tos.rtd", , "VOLUME", ".SPXW240129C3900")</f>
        <v>N/A</v>
      </c>
      <c r="D29">
        <f>RTD("tos.rtd", , "OPEN_INT", ".SPXW240129C3900")</f>
        <v>0</v>
      </c>
      <c r="E29">
        <f>RTD("tos.rtd", , "DELTA", ".SPXW240129C3900")</f>
        <v>1</v>
      </c>
      <c r="F29">
        <f>RTD("tos.rtd", , "GAMMA", ".SPXW240129C3900")</f>
        <v>0</v>
      </c>
      <c r="G29">
        <f>RTD("tos.rtd", , "BID", ".SPXW240129C3900")</f>
        <v>1019.3</v>
      </c>
      <c r="H29" t="str">
        <f>RTD("tos.rtd", , "BX", ".SPXW240129C3900")</f>
        <v>C</v>
      </c>
      <c r="I29">
        <f>RTD("tos.rtd", , "ASK", ".SPXW240129C3900")</f>
        <v>1037.7</v>
      </c>
      <c r="J29" t="str">
        <f>RTD("tos.rtd", , "AX", ".SPXW240129C3900")</f>
        <v>C</v>
      </c>
      <c r="K29" t="str">
        <f>RTD("tos.rtd", , "EXPIRATION_DAY", ".SPXW240129C3900")</f>
        <v>2024-01-29</v>
      </c>
      <c r="L29">
        <f>RTD("tos.rtd", , "STRIKE", ".SPXW240129C3900")</f>
        <v>3900</v>
      </c>
      <c r="M29">
        <f>RTD("tos.rtd", , "BID", ".SPXW240129P3900")</f>
        <v>0</v>
      </c>
      <c r="N29" t="str">
        <f>RTD("tos.rtd", , "BX", ".SPXW240129P3900")</f>
        <v>C</v>
      </c>
      <c r="O29">
        <f>RTD("tos.rtd", , "ASK", ".SPXW240129P3900")</f>
        <v>0.05</v>
      </c>
      <c r="P29" t="str">
        <f>RTD("tos.rtd", , "AX", ".SPXW240129P3900")</f>
        <v>C</v>
      </c>
      <c r="Q29" t="str">
        <f>RTD("tos.rtd", , "VOLUME", ".SPXW240129P3900")</f>
        <v>N/A</v>
      </c>
      <c r="R29">
        <f>RTD("tos.rtd", , "OPEN_INT", ".SPXW240129P3900")</f>
        <v>18480</v>
      </c>
      <c r="S29">
        <f>RTD("tos.rtd", , "DELTA", ".SPXW240129P3900")</f>
        <v>0</v>
      </c>
      <c r="T29">
        <f>RTD("tos.rtd", , "GAMMA", ".SPXW240129P3900")</f>
        <v>0</v>
      </c>
    </row>
    <row r="30" spans="3:20" x14ac:dyDescent="0.25">
      <c r="C30" t="str">
        <f>RTD("tos.rtd", , "VOLUME", ".SPXW240129C3950")</f>
        <v>N/A</v>
      </c>
      <c r="D30">
        <f>RTD("tos.rtd", , "OPEN_INT", ".SPXW240129C3950")</f>
        <v>0</v>
      </c>
      <c r="E30">
        <f>RTD("tos.rtd", , "DELTA", ".SPXW240129C3950")</f>
        <v>1</v>
      </c>
      <c r="F30">
        <f>RTD("tos.rtd", , "GAMMA", ".SPXW240129C3950")</f>
        <v>0</v>
      </c>
      <c r="G30">
        <f>RTD("tos.rtd", , "BID", ".SPXW240129C3950")</f>
        <v>969.3</v>
      </c>
      <c r="H30" t="str">
        <f>RTD("tos.rtd", , "BX", ".SPXW240129C3950")</f>
        <v>C</v>
      </c>
      <c r="I30">
        <f>RTD("tos.rtd", , "ASK", ".SPXW240129C3950")</f>
        <v>987.7</v>
      </c>
      <c r="J30" t="str">
        <f>RTD("tos.rtd", , "AX", ".SPXW240129C3950")</f>
        <v>C</v>
      </c>
      <c r="K30" t="str">
        <f>RTD("tos.rtd", , "EXPIRATION_DAY", ".SPXW240129C3950")</f>
        <v>2024-01-29</v>
      </c>
      <c r="L30">
        <f>RTD("tos.rtd", , "STRIKE", ".SPXW240129C3950")</f>
        <v>3950</v>
      </c>
      <c r="M30">
        <f>RTD("tos.rtd", , "BID", ".SPXW240129P3950")</f>
        <v>0</v>
      </c>
      <c r="N30" t="str">
        <f>RTD("tos.rtd", , "BX", ".SPXW240129P3950")</f>
        <v>C</v>
      </c>
      <c r="O30">
        <f>RTD("tos.rtd", , "ASK", ".SPXW240129P3950")</f>
        <v>0.05</v>
      </c>
      <c r="P30" t="str">
        <f>RTD("tos.rtd", , "AX", ".SPXW240129P3950")</f>
        <v>C</v>
      </c>
      <c r="Q30" t="str">
        <f>RTD("tos.rtd", , "VOLUME", ".SPXW240129P3950")</f>
        <v>N/A</v>
      </c>
      <c r="R30">
        <f>RTD("tos.rtd", , "OPEN_INT", ".SPXW240129P3950")</f>
        <v>5959</v>
      </c>
      <c r="S30">
        <f>RTD("tos.rtd", , "DELTA", ".SPXW240129P3950")</f>
        <v>0</v>
      </c>
      <c r="T30">
        <f>RTD("tos.rtd", , "GAMMA", ".SPXW240129P3950")</f>
        <v>0</v>
      </c>
    </row>
    <row r="31" spans="3:20" x14ac:dyDescent="0.25">
      <c r="C31" t="str">
        <f>RTD("tos.rtd", , "VOLUME", ".SPXW240129C4000")</f>
        <v>N/A</v>
      </c>
      <c r="D31">
        <f>RTD("tos.rtd", , "OPEN_INT", ".SPXW240129C4000")</f>
        <v>0</v>
      </c>
      <c r="E31">
        <f>RTD("tos.rtd", , "DELTA", ".SPXW240129C4000")</f>
        <v>1</v>
      </c>
      <c r="F31">
        <f>RTD("tos.rtd", , "GAMMA", ".SPXW240129C4000")</f>
        <v>0</v>
      </c>
      <c r="G31">
        <f>RTD("tos.rtd", , "BID", ".SPXW240129C4000")</f>
        <v>919.3</v>
      </c>
      <c r="H31" t="str">
        <f>RTD("tos.rtd", , "BX", ".SPXW240129C4000")</f>
        <v>C</v>
      </c>
      <c r="I31">
        <f>RTD("tos.rtd", , "ASK", ".SPXW240129C4000")</f>
        <v>937.7</v>
      </c>
      <c r="J31" t="str">
        <f>RTD("tos.rtd", , "AX", ".SPXW240129C4000")</f>
        <v>C</v>
      </c>
      <c r="K31" t="str">
        <f>RTD("tos.rtd", , "EXPIRATION_DAY", ".SPXW240129C4000")</f>
        <v>2024-01-29</v>
      </c>
      <c r="L31">
        <f>RTD("tos.rtd", , "STRIKE", ".SPXW240129C4000")</f>
        <v>4000</v>
      </c>
      <c r="M31">
        <f>RTD("tos.rtd", , "BID", ".SPXW240129P4000")</f>
        <v>0</v>
      </c>
      <c r="N31" t="str">
        <f>RTD("tos.rtd", , "BX", ".SPXW240129P4000")</f>
        <v>C</v>
      </c>
      <c r="O31">
        <f>RTD("tos.rtd", , "ASK", ".SPXW240129P4000")</f>
        <v>0.05</v>
      </c>
      <c r="P31" t="str">
        <f>RTD("tos.rtd", , "AX", ".SPXW240129P4000")</f>
        <v>C</v>
      </c>
      <c r="Q31" t="str">
        <f>RTD("tos.rtd", , "VOLUME", ".SPXW240129P4000")</f>
        <v>N/A</v>
      </c>
      <c r="R31">
        <f>RTD("tos.rtd", , "OPEN_INT", ".SPXW240129P4000")</f>
        <v>5798</v>
      </c>
      <c r="S31">
        <f>RTD("tos.rtd", , "DELTA", ".SPXW240129P4000")</f>
        <v>0</v>
      </c>
      <c r="T31">
        <f>RTD("tos.rtd", , "GAMMA", ".SPXW240129P4000")</f>
        <v>0</v>
      </c>
    </row>
    <row r="32" spans="3:20" x14ac:dyDescent="0.25">
      <c r="C32" t="str">
        <f>RTD("tos.rtd", , "VOLUME", ".SPXW240129C4050")</f>
        <v>N/A</v>
      </c>
      <c r="D32">
        <f>RTD("tos.rtd", , "OPEN_INT", ".SPXW240129C4050")</f>
        <v>0</v>
      </c>
      <c r="E32">
        <f>RTD("tos.rtd", , "DELTA", ".SPXW240129C4050")</f>
        <v>1</v>
      </c>
      <c r="F32">
        <f>RTD("tos.rtd", , "GAMMA", ".SPXW240129C4050")</f>
        <v>0</v>
      </c>
      <c r="G32">
        <f>RTD("tos.rtd", , "BID", ".SPXW240129C4050")</f>
        <v>869.3</v>
      </c>
      <c r="H32" t="str">
        <f>RTD("tos.rtd", , "BX", ".SPXW240129C4050")</f>
        <v>C</v>
      </c>
      <c r="I32">
        <f>RTD("tos.rtd", , "ASK", ".SPXW240129C4050")</f>
        <v>887.7</v>
      </c>
      <c r="J32" t="str">
        <f>RTD("tos.rtd", , "AX", ".SPXW240129C4050")</f>
        <v>C</v>
      </c>
      <c r="K32" t="str">
        <f>RTD("tos.rtd", , "EXPIRATION_DAY", ".SPXW240129C4050")</f>
        <v>2024-01-29</v>
      </c>
      <c r="L32">
        <f>RTD("tos.rtd", , "STRIKE", ".SPXW240129C4050")</f>
        <v>4050</v>
      </c>
      <c r="M32">
        <f>RTD("tos.rtd", , "BID", ".SPXW240129P4050")</f>
        <v>0</v>
      </c>
      <c r="N32" t="str">
        <f>RTD("tos.rtd", , "BX", ".SPXW240129P4050")</f>
        <v>C</v>
      </c>
      <c r="O32">
        <f>RTD("tos.rtd", , "ASK", ".SPXW240129P4050")</f>
        <v>0.05</v>
      </c>
      <c r="P32" t="str">
        <f>RTD("tos.rtd", , "AX", ".SPXW240129P4050")</f>
        <v>C</v>
      </c>
      <c r="Q32" t="str">
        <f>RTD("tos.rtd", , "VOLUME", ".SPXW240129P4050")</f>
        <v>N/A</v>
      </c>
      <c r="R32">
        <f>RTD("tos.rtd", , "OPEN_INT", ".SPXW240129P4050")</f>
        <v>1645</v>
      </c>
      <c r="S32">
        <f>RTD("tos.rtd", , "DELTA", ".SPXW240129P4050")</f>
        <v>0</v>
      </c>
      <c r="T32">
        <f>RTD("tos.rtd", , "GAMMA", ".SPXW240129P4050")</f>
        <v>0</v>
      </c>
    </row>
    <row r="33" spans="3:20" x14ac:dyDescent="0.25">
      <c r="C33" t="str">
        <f>RTD("tos.rtd", , "VOLUME", ".SPXW240129C4100")</f>
        <v>N/A</v>
      </c>
      <c r="D33">
        <f>RTD("tos.rtd", , "OPEN_INT", ".SPXW240129C4100")</f>
        <v>0</v>
      </c>
      <c r="E33">
        <f>RTD("tos.rtd", , "DELTA", ".SPXW240129C4100")</f>
        <v>1</v>
      </c>
      <c r="F33">
        <f>RTD("tos.rtd", , "GAMMA", ".SPXW240129C4100")</f>
        <v>0</v>
      </c>
      <c r="G33">
        <f>RTD("tos.rtd", , "BID", ".SPXW240129C4100")</f>
        <v>819.3</v>
      </c>
      <c r="H33" t="str">
        <f>RTD("tos.rtd", , "BX", ".SPXW240129C4100")</f>
        <v>C</v>
      </c>
      <c r="I33">
        <f>RTD("tos.rtd", , "ASK", ".SPXW240129C4100")</f>
        <v>837.7</v>
      </c>
      <c r="J33" t="str">
        <f>RTD("tos.rtd", , "AX", ".SPXW240129C4100")</f>
        <v>C</v>
      </c>
      <c r="K33" t="str">
        <f>RTD("tos.rtd", , "EXPIRATION_DAY", ".SPXW240129C4100")</f>
        <v>2024-01-29</v>
      </c>
      <c r="L33">
        <f>RTD("tos.rtd", , "STRIKE", ".SPXW240129C4100")</f>
        <v>4100</v>
      </c>
      <c r="M33">
        <f>RTD("tos.rtd", , "BID", ".SPXW240129P4100")</f>
        <v>0</v>
      </c>
      <c r="N33" t="str">
        <f>RTD("tos.rtd", , "BX", ".SPXW240129P4100")</f>
        <v>C</v>
      </c>
      <c r="O33">
        <f>RTD("tos.rtd", , "ASK", ".SPXW240129P4100")</f>
        <v>0.05</v>
      </c>
      <c r="P33" t="str">
        <f>RTD("tos.rtd", , "AX", ".SPXW240129P4100")</f>
        <v>C</v>
      </c>
      <c r="Q33" t="str">
        <f>RTD("tos.rtd", , "VOLUME", ".SPXW240129P4100")</f>
        <v>N/A</v>
      </c>
      <c r="R33">
        <f>RTD("tos.rtd", , "OPEN_INT", ".SPXW240129P4100")</f>
        <v>2842</v>
      </c>
      <c r="S33">
        <f>RTD("tos.rtd", , "DELTA", ".SPXW240129P4100")</f>
        <v>0</v>
      </c>
      <c r="T33">
        <f>RTD("tos.rtd", , "GAMMA", ".SPXW240129P4100")</f>
        <v>0</v>
      </c>
    </row>
    <row r="34" spans="3:20" x14ac:dyDescent="0.25">
      <c r="C34" t="str">
        <f>RTD("tos.rtd", , "VOLUME", ".SPXW240129C4125")</f>
        <v>N/A</v>
      </c>
      <c r="D34">
        <f>RTD("tos.rtd", , "OPEN_INT", ".SPXW240129C4125")</f>
        <v>0</v>
      </c>
      <c r="E34">
        <f>RTD("tos.rtd", , "DELTA", ".SPXW240129C4125")</f>
        <v>1</v>
      </c>
      <c r="F34">
        <f>RTD("tos.rtd", , "GAMMA", ".SPXW240129C4125")</f>
        <v>0</v>
      </c>
      <c r="G34">
        <f>RTD("tos.rtd", , "BID", ".SPXW240129C4125")</f>
        <v>794.3</v>
      </c>
      <c r="H34" t="str">
        <f>RTD("tos.rtd", , "BX", ".SPXW240129C4125")</f>
        <v>C</v>
      </c>
      <c r="I34">
        <f>RTD("tos.rtd", , "ASK", ".SPXW240129C4125")</f>
        <v>812.7</v>
      </c>
      <c r="J34" t="str">
        <f>RTD("tos.rtd", , "AX", ".SPXW240129C4125")</f>
        <v>C</v>
      </c>
      <c r="K34" t="str">
        <f>RTD("tos.rtd", , "EXPIRATION_DAY", ".SPXW240129C4125")</f>
        <v>2024-01-29</v>
      </c>
      <c r="L34">
        <f>RTD("tos.rtd", , "STRIKE", ".SPXW240129C4125")</f>
        <v>4125</v>
      </c>
      <c r="M34">
        <f>RTD("tos.rtd", , "BID", ".SPXW240129P4125")</f>
        <v>0</v>
      </c>
      <c r="N34" t="str">
        <f>RTD("tos.rtd", , "BX", ".SPXW240129P4125")</f>
        <v>C</v>
      </c>
      <c r="O34">
        <f>RTD("tos.rtd", , "ASK", ".SPXW240129P4125")</f>
        <v>0.05</v>
      </c>
      <c r="P34" t="str">
        <f>RTD("tos.rtd", , "AX", ".SPXW240129P4125")</f>
        <v>C</v>
      </c>
      <c r="Q34" t="str">
        <f>RTD("tos.rtd", , "VOLUME", ".SPXW240129P4125")</f>
        <v>N/A</v>
      </c>
      <c r="R34">
        <f>RTD("tos.rtd", , "OPEN_INT", ".SPXW240129P4125")</f>
        <v>368</v>
      </c>
      <c r="S34">
        <f>RTD("tos.rtd", , "DELTA", ".SPXW240129P4125")</f>
        <v>0</v>
      </c>
      <c r="T34">
        <f>RTD("tos.rtd", , "GAMMA", ".SPXW240129P4125")</f>
        <v>0</v>
      </c>
    </row>
    <row r="35" spans="3:20" x14ac:dyDescent="0.25">
      <c r="C35" t="str">
        <f>RTD("tos.rtd", , "VOLUME", ".SPXW240129C4150")</f>
        <v>N/A</v>
      </c>
      <c r="D35">
        <f>RTD("tos.rtd", , "OPEN_INT", ".SPXW240129C4150")</f>
        <v>0</v>
      </c>
      <c r="E35">
        <f>RTD("tos.rtd", , "DELTA", ".SPXW240129C4150")</f>
        <v>1</v>
      </c>
      <c r="F35">
        <f>RTD("tos.rtd", , "GAMMA", ".SPXW240129C4150")</f>
        <v>0</v>
      </c>
      <c r="G35">
        <f>RTD("tos.rtd", , "BID", ".SPXW240129C4150")</f>
        <v>769.3</v>
      </c>
      <c r="H35" t="str">
        <f>RTD("tos.rtd", , "BX", ".SPXW240129C4150")</f>
        <v>C</v>
      </c>
      <c r="I35">
        <f>RTD("tos.rtd", , "ASK", ".SPXW240129C4150")</f>
        <v>787.7</v>
      </c>
      <c r="J35" t="str">
        <f>RTD("tos.rtd", , "AX", ".SPXW240129C4150")</f>
        <v>C</v>
      </c>
      <c r="K35" t="str">
        <f>RTD("tos.rtd", , "EXPIRATION_DAY", ".SPXW240129C4150")</f>
        <v>2024-01-29</v>
      </c>
      <c r="L35">
        <f>RTD("tos.rtd", , "STRIKE", ".SPXW240129C4150")</f>
        <v>4150</v>
      </c>
      <c r="M35">
        <f>RTD("tos.rtd", , "BID", ".SPXW240129P4150")</f>
        <v>0</v>
      </c>
      <c r="N35" t="str">
        <f>RTD("tos.rtd", , "BX", ".SPXW240129P4150")</f>
        <v>C</v>
      </c>
      <c r="O35">
        <f>RTD("tos.rtd", , "ASK", ".SPXW240129P4150")</f>
        <v>0.05</v>
      </c>
      <c r="P35" t="str">
        <f>RTD("tos.rtd", , "AX", ".SPXW240129P4150")</f>
        <v>C</v>
      </c>
      <c r="Q35" t="str">
        <f>RTD("tos.rtd", , "VOLUME", ".SPXW240129P4150")</f>
        <v>N/A</v>
      </c>
      <c r="R35">
        <f>RTD("tos.rtd", , "OPEN_INT", ".SPXW240129P4150")</f>
        <v>4564</v>
      </c>
      <c r="S35">
        <f>RTD("tos.rtd", , "DELTA", ".SPXW240129P4150")</f>
        <v>0</v>
      </c>
      <c r="T35">
        <f>RTD("tos.rtd", , "GAMMA", ".SPXW240129P4150")</f>
        <v>0</v>
      </c>
    </row>
    <row r="36" spans="3:20" x14ac:dyDescent="0.25">
      <c r="C36" t="str">
        <f>RTD("tos.rtd", , "VOLUME", ".SPXW240129C4175")</f>
        <v>N/A</v>
      </c>
      <c r="D36">
        <f>RTD("tos.rtd", , "OPEN_INT", ".SPXW240129C4175")</f>
        <v>0</v>
      </c>
      <c r="E36">
        <f>RTD("tos.rtd", , "DELTA", ".SPXW240129C4175")</f>
        <v>1</v>
      </c>
      <c r="F36">
        <f>RTD("tos.rtd", , "GAMMA", ".SPXW240129C4175")</f>
        <v>0</v>
      </c>
      <c r="G36">
        <f>RTD("tos.rtd", , "BID", ".SPXW240129C4175")</f>
        <v>744.3</v>
      </c>
      <c r="H36" t="str">
        <f>RTD("tos.rtd", , "BX", ".SPXW240129C4175")</f>
        <v>C</v>
      </c>
      <c r="I36">
        <f>RTD("tos.rtd", , "ASK", ".SPXW240129C4175")</f>
        <v>762.7</v>
      </c>
      <c r="J36" t="str">
        <f>RTD("tos.rtd", , "AX", ".SPXW240129C4175")</f>
        <v>C</v>
      </c>
      <c r="K36" t="str">
        <f>RTD("tos.rtd", , "EXPIRATION_DAY", ".SPXW240129C4175")</f>
        <v>2024-01-29</v>
      </c>
      <c r="L36">
        <f>RTD("tos.rtd", , "STRIKE", ".SPXW240129C4175")</f>
        <v>4175</v>
      </c>
      <c r="M36">
        <f>RTD("tos.rtd", , "BID", ".SPXW240129P4175")</f>
        <v>0</v>
      </c>
      <c r="N36" t="str">
        <f>RTD("tos.rtd", , "BX", ".SPXW240129P4175")</f>
        <v>C</v>
      </c>
      <c r="O36">
        <f>RTD("tos.rtd", , "ASK", ".SPXW240129P4175")</f>
        <v>0.05</v>
      </c>
      <c r="P36" t="str">
        <f>RTD("tos.rtd", , "AX", ".SPXW240129P4175")</f>
        <v>C</v>
      </c>
      <c r="Q36" t="str">
        <f>RTD("tos.rtd", , "VOLUME", ".SPXW240129P4175")</f>
        <v>N/A</v>
      </c>
      <c r="R36">
        <f>RTD("tos.rtd", , "OPEN_INT", ".SPXW240129P4175")</f>
        <v>819</v>
      </c>
      <c r="S36">
        <f>RTD("tos.rtd", , "DELTA", ".SPXW240129P4175")</f>
        <v>0</v>
      </c>
      <c r="T36">
        <f>RTD("tos.rtd", , "GAMMA", ".SPXW240129P4175")</f>
        <v>0</v>
      </c>
    </row>
    <row r="37" spans="3:20" x14ac:dyDescent="0.25">
      <c r="C37" t="str">
        <f>RTD("tos.rtd", , "VOLUME", ".SPXW240129C4200")</f>
        <v>N/A</v>
      </c>
      <c r="D37">
        <f>RTD("tos.rtd", , "OPEN_INT", ".SPXW240129C4200")</f>
        <v>0</v>
      </c>
      <c r="E37">
        <f>RTD("tos.rtd", , "DELTA", ".SPXW240129C4200")</f>
        <v>1</v>
      </c>
      <c r="F37">
        <f>RTD("tos.rtd", , "GAMMA", ".SPXW240129C4200")</f>
        <v>0</v>
      </c>
      <c r="G37">
        <f>RTD("tos.rtd", , "BID", ".SPXW240129C4200")</f>
        <v>719.3</v>
      </c>
      <c r="H37" t="str">
        <f>RTD("tos.rtd", , "BX", ".SPXW240129C4200")</f>
        <v>C</v>
      </c>
      <c r="I37">
        <f>RTD("tos.rtd", , "ASK", ".SPXW240129C4200")</f>
        <v>737.7</v>
      </c>
      <c r="J37" t="str">
        <f>RTD("tos.rtd", , "AX", ".SPXW240129C4200")</f>
        <v>C</v>
      </c>
      <c r="K37" t="str">
        <f>RTD("tos.rtd", , "EXPIRATION_DAY", ".SPXW240129C4200")</f>
        <v>2024-01-29</v>
      </c>
      <c r="L37">
        <f>RTD("tos.rtd", , "STRIKE", ".SPXW240129C4200")</f>
        <v>4200</v>
      </c>
      <c r="M37">
        <f>RTD("tos.rtd", , "BID", ".SPXW240129P4200")</f>
        <v>0</v>
      </c>
      <c r="N37" t="str">
        <f>RTD("tos.rtd", , "BX", ".SPXW240129P4200")</f>
        <v>C</v>
      </c>
      <c r="O37">
        <f>RTD("tos.rtd", , "ASK", ".SPXW240129P4200")</f>
        <v>0.05</v>
      </c>
      <c r="P37" t="str">
        <f>RTD("tos.rtd", , "AX", ".SPXW240129P4200")</f>
        <v>C</v>
      </c>
      <c r="Q37" t="str">
        <f>RTD("tos.rtd", , "VOLUME", ".SPXW240129P4200")</f>
        <v>N/A</v>
      </c>
      <c r="R37">
        <f>RTD("tos.rtd", , "OPEN_INT", ".SPXW240129P4200")</f>
        <v>2519</v>
      </c>
      <c r="S37">
        <f>RTD("tos.rtd", , "DELTA", ".SPXW240129P4200")</f>
        <v>0</v>
      </c>
      <c r="T37">
        <f>RTD("tos.rtd", , "GAMMA", ".SPXW240129P4200")</f>
        <v>0</v>
      </c>
    </row>
    <row r="38" spans="3:20" x14ac:dyDescent="0.25">
      <c r="C38" t="str">
        <f>RTD("tos.rtd", , "VOLUME", ".SPXW240129C4225")</f>
        <v>N/A</v>
      </c>
      <c r="D38">
        <f>RTD("tos.rtd", , "OPEN_INT", ".SPXW240129C4225")</f>
        <v>0</v>
      </c>
      <c r="E38">
        <f>RTD("tos.rtd", , "DELTA", ".SPXW240129C4225")</f>
        <v>1</v>
      </c>
      <c r="F38">
        <f>RTD("tos.rtd", , "GAMMA", ".SPXW240129C4225")</f>
        <v>0</v>
      </c>
      <c r="G38">
        <f>RTD("tos.rtd", , "BID", ".SPXW240129C4225")</f>
        <v>694.3</v>
      </c>
      <c r="H38" t="str">
        <f>RTD("tos.rtd", , "BX", ".SPXW240129C4225")</f>
        <v>C</v>
      </c>
      <c r="I38">
        <f>RTD("tos.rtd", , "ASK", ".SPXW240129C4225")</f>
        <v>712.7</v>
      </c>
      <c r="J38" t="str">
        <f>RTD("tos.rtd", , "AX", ".SPXW240129C4225")</f>
        <v>C</v>
      </c>
      <c r="K38" t="str">
        <f>RTD("tos.rtd", , "EXPIRATION_DAY", ".SPXW240129C4225")</f>
        <v>2024-01-29</v>
      </c>
      <c r="L38">
        <f>RTD("tos.rtd", , "STRIKE", ".SPXW240129C4225")</f>
        <v>4225</v>
      </c>
      <c r="M38">
        <f>RTD("tos.rtd", , "BID", ".SPXW240129P4225")</f>
        <v>0</v>
      </c>
      <c r="N38" t="str">
        <f>RTD("tos.rtd", , "BX", ".SPXW240129P4225")</f>
        <v>C</v>
      </c>
      <c r="O38">
        <f>RTD("tos.rtd", , "ASK", ".SPXW240129P4225")</f>
        <v>0.05</v>
      </c>
      <c r="P38" t="str">
        <f>RTD("tos.rtd", , "AX", ".SPXW240129P4225")</f>
        <v>C</v>
      </c>
      <c r="Q38" t="str">
        <f>RTD("tos.rtd", , "VOLUME", ".SPXW240129P4225")</f>
        <v>N/A</v>
      </c>
      <c r="R38">
        <f>RTD("tos.rtd", , "OPEN_INT", ".SPXW240129P4225")</f>
        <v>3781</v>
      </c>
      <c r="S38">
        <f>RTD("tos.rtd", , "DELTA", ".SPXW240129P4225")</f>
        <v>0</v>
      </c>
      <c r="T38">
        <f>RTD("tos.rtd", , "GAMMA", ".SPXW240129P4225")</f>
        <v>0</v>
      </c>
    </row>
    <row r="39" spans="3:20" x14ac:dyDescent="0.25">
      <c r="C39" t="str">
        <f>RTD("tos.rtd", , "VOLUME", ".SPXW240129C4250")</f>
        <v>N/A</v>
      </c>
      <c r="D39">
        <f>RTD("tos.rtd", , "OPEN_INT", ".SPXW240129C4250")</f>
        <v>0</v>
      </c>
      <c r="E39">
        <f>RTD("tos.rtd", , "DELTA", ".SPXW240129C4250")</f>
        <v>1</v>
      </c>
      <c r="F39">
        <f>RTD("tos.rtd", , "GAMMA", ".SPXW240129C4250")</f>
        <v>0</v>
      </c>
      <c r="G39">
        <f>RTD("tos.rtd", , "BID", ".SPXW240129C4250")</f>
        <v>669.3</v>
      </c>
      <c r="H39" t="str">
        <f>RTD("tos.rtd", , "BX", ".SPXW240129C4250")</f>
        <v>C</v>
      </c>
      <c r="I39">
        <f>RTD("tos.rtd", , "ASK", ".SPXW240129C4250")</f>
        <v>687.7</v>
      </c>
      <c r="J39" t="str">
        <f>RTD("tos.rtd", , "AX", ".SPXW240129C4250")</f>
        <v>C</v>
      </c>
      <c r="K39" t="str">
        <f>RTD("tos.rtd", , "EXPIRATION_DAY", ".SPXW240129C4250")</f>
        <v>2024-01-29</v>
      </c>
      <c r="L39">
        <f>RTD("tos.rtd", , "STRIKE", ".SPXW240129C4250")</f>
        <v>4250</v>
      </c>
      <c r="M39">
        <f>RTD("tos.rtd", , "BID", ".SPXW240129P4250")</f>
        <v>0</v>
      </c>
      <c r="N39" t="str">
        <f>RTD("tos.rtd", , "BX", ".SPXW240129P4250")</f>
        <v>C</v>
      </c>
      <c r="O39">
        <f>RTD("tos.rtd", , "ASK", ".SPXW240129P4250")</f>
        <v>0.05</v>
      </c>
      <c r="P39" t="str">
        <f>RTD("tos.rtd", , "AX", ".SPXW240129P4250")</f>
        <v>C</v>
      </c>
      <c r="Q39" t="str">
        <f>RTD("tos.rtd", , "VOLUME", ".SPXW240129P4250")</f>
        <v>N/A</v>
      </c>
      <c r="R39">
        <f>RTD("tos.rtd", , "OPEN_INT", ".SPXW240129P4250")</f>
        <v>1929</v>
      </c>
      <c r="S39">
        <f>RTD("tos.rtd", , "DELTA", ".SPXW240129P4250")</f>
        <v>0</v>
      </c>
      <c r="T39">
        <f>RTD("tos.rtd", , "GAMMA", ".SPXW240129P4250")</f>
        <v>0</v>
      </c>
    </row>
    <row r="40" spans="3:20" x14ac:dyDescent="0.25">
      <c r="C40" t="str">
        <f>RTD("tos.rtd", , "VOLUME", ".SPXW240129C4275")</f>
        <v>N/A</v>
      </c>
      <c r="D40">
        <f>RTD("tos.rtd", , "OPEN_INT", ".SPXW240129C4275")</f>
        <v>0</v>
      </c>
      <c r="E40">
        <f>RTD("tos.rtd", , "DELTA", ".SPXW240129C4275")</f>
        <v>1</v>
      </c>
      <c r="F40">
        <f>RTD("tos.rtd", , "GAMMA", ".SPXW240129C4275")</f>
        <v>0</v>
      </c>
      <c r="G40">
        <f>RTD("tos.rtd", , "BID", ".SPXW240129C4275")</f>
        <v>644.29999999999995</v>
      </c>
      <c r="H40" t="str">
        <f>RTD("tos.rtd", , "BX", ".SPXW240129C4275")</f>
        <v>C</v>
      </c>
      <c r="I40">
        <f>RTD("tos.rtd", , "ASK", ".SPXW240129C4275")</f>
        <v>662.7</v>
      </c>
      <c r="J40" t="str">
        <f>RTD("tos.rtd", , "AX", ".SPXW240129C4275")</f>
        <v>C</v>
      </c>
      <c r="K40" t="str">
        <f>RTD("tos.rtd", , "EXPIRATION_DAY", ".SPXW240129C4275")</f>
        <v>2024-01-29</v>
      </c>
      <c r="L40">
        <f>RTD("tos.rtd", , "STRIKE", ".SPXW240129C4275")</f>
        <v>4275</v>
      </c>
      <c r="M40">
        <f>RTD("tos.rtd", , "BID", ".SPXW240129P4275")</f>
        <v>0</v>
      </c>
      <c r="N40" t="str">
        <f>RTD("tos.rtd", , "BX", ".SPXW240129P4275")</f>
        <v>C</v>
      </c>
      <c r="O40">
        <f>RTD("tos.rtd", , "ASK", ".SPXW240129P4275")</f>
        <v>0.05</v>
      </c>
      <c r="P40" t="str">
        <f>RTD("tos.rtd", , "AX", ".SPXW240129P4275")</f>
        <v>C</v>
      </c>
      <c r="Q40" t="str">
        <f>RTD("tos.rtd", , "VOLUME", ".SPXW240129P4275")</f>
        <v>N/A</v>
      </c>
      <c r="R40">
        <f>RTD("tos.rtd", , "OPEN_INT", ".SPXW240129P4275")</f>
        <v>2572</v>
      </c>
      <c r="S40">
        <f>RTD("tos.rtd", , "DELTA", ".SPXW240129P4275")</f>
        <v>0</v>
      </c>
      <c r="T40">
        <f>RTD("tos.rtd", , "GAMMA", ".SPXW240129P4275")</f>
        <v>0</v>
      </c>
    </row>
    <row r="41" spans="3:20" x14ac:dyDescent="0.25">
      <c r="C41" t="str">
        <f>RTD("tos.rtd", , "VOLUME", ".SPXW240129C4300")</f>
        <v>N/A</v>
      </c>
      <c r="D41">
        <f>RTD("tos.rtd", , "OPEN_INT", ".SPXW240129C4300")</f>
        <v>0</v>
      </c>
      <c r="E41">
        <f>RTD("tos.rtd", , "DELTA", ".SPXW240129C4300")</f>
        <v>1</v>
      </c>
      <c r="F41">
        <f>RTD("tos.rtd", , "GAMMA", ".SPXW240129C4300")</f>
        <v>0</v>
      </c>
      <c r="G41">
        <f>RTD("tos.rtd", , "BID", ".SPXW240129C4300")</f>
        <v>619.29999999999995</v>
      </c>
      <c r="H41" t="str">
        <f>RTD("tos.rtd", , "BX", ".SPXW240129C4300")</f>
        <v>C</v>
      </c>
      <c r="I41">
        <f>RTD("tos.rtd", , "ASK", ".SPXW240129C4300")</f>
        <v>637.70000000000005</v>
      </c>
      <c r="J41" t="str">
        <f>RTD("tos.rtd", , "AX", ".SPXW240129C4300")</f>
        <v>C</v>
      </c>
      <c r="K41" t="str">
        <f>RTD("tos.rtd", , "EXPIRATION_DAY", ".SPXW240129C4300")</f>
        <v>2024-01-29</v>
      </c>
      <c r="L41">
        <f>RTD("tos.rtd", , "STRIKE", ".SPXW240129C4300")</f>
        <v>4300</v>
      </c>
      <c r="M41">
        <f>RTD("tos.rtd", , "BID", ".SPXW240129P4300")</f>
        <v>0</v>
      </c>
      <c r="N41" t="str">
        <f>RTD("tos.rtd", , "BX", ".SPXW240129P4300")</f>
        <v>C</v>
      </c>
      <c r="O41">
        <f>RTD("tos.rtd", , "ASK", ".SPXW240129P4300")</f>
        <v>0.05</v>
      </c>
      <c r="P41" t="str">
        <f>RTD("tos.rtd", , "AX", ".SPXW240129P4300")</f>
        <v>C</v>
      </c>
      <c r="Q41" t="str">
        <f>RTD("tos.rtd", , "VOLUME", ".SPXW240129P4300")</f>
        <v>N/A</v>
      </c>
      <c r="R41">
        <f>RTD("tos.rtd", , "OPEN_INT", ".SPXW240129P4300")</f>
        <v>2033</v>
      </c>
      <c r="S41">
        <f>RTD("tos.rtd", , "DELTA", ".SPXW240129P4300")</f>
        <v>0</v>
      </c>
      <c r="T41">
        <f>RTD("tos.rtd", , "GAMMA", ".SPXW240129P4300")</f>
        <v>0</v>
      </c>
    </row>
    <row r="42" spans="3:20" x14ac:dyDescent="0.25">
      <c r="C42" t="str">
        <f>RTD("tos.rtd", , "VOLUME", ".SPXW240129C4325")</f>
        <v>N/A</v>
      </c>
      <c r="D42">
        <f>RTD("tos.rtd", , "OPEN_INT", ".SPXW240129C4325")</f>
        <v>0</v>
      </c>
      <c r="E42">
        <f>RTD("tos.rtd", , "DELTA", ".SPXW240129C4325")</f>
        <v>1</v>
      </c>
      <c r="F42">
        <f>RTD("tos.rtd", , "GAMMA", ".SPXW240129C4325")</f>
        <v>0</v>
      </c>
      <c r="G42">
        <f>RTD("tos.rtd", , "BID", ".SPXW240129C4325")</f>
        <v>594.29999999999995</v>
      </c>
      <c r="H42" t="str">
        <f>RTD("tos.rtd", , "BX", ".SPXW240129C4325")</f>
        <v>C</v>
      </c>
      <c r="I42">
        <f>RTD("tos.rtd", , "ASK", ".SPXW240129C4325")</f>
        <v>612.70000000000005</v>
      </c>
      <c r="J42" t="str">
        <f>RTD("tos.rtd", , "AX", ".SPXW240129C4325")</f>
        <v>C</v>
      </c>
      <c r="K42" t="str">
        <f>RTD("tos.rtd", , "EXPIRATION_DAY", ".SPXW240129C4325")</f>
        <v>2024-01-29</v>
      </c>
      <c r="L42">
        <f>RTD("tos.rtd", , "STRIKE", ".SPXW240129C4325")</f>
        <v>4325</v>
      </c>
      <c r="M42">
        <f>RTD("tos.rtd", , "BID", ".SPXW240129P4325")</f>
        <v>0</v>
      </c>
      <c r="N42" t="str">
        <f>RTD("tos.rtd", , "BX", ".SPXW240129P4325")</f>
        <v>C</v>
      </c>
      <c r="O42">
        <f>RTD("tos.rtd", , "ASK", ".SPXW240129P4325")</f>
        <v>0.05</v>
      </c>
      <c r="P42" t="str">
        <f>RTD("tos.rtd", , "AX", ".SPXW240129P4325")</f>
        <v>C</v>
      </c>
      <c r="Q42" t="str">
        <f>RTD("tos.rtd", , "VOLUME", ".SPXW240129P4325")</f>
        <v>N/A</v>
      </c>
      <c r="R42">
        <f>RTD("tos.rtd", , "OPEN_INT", ".SPXW240129P4325")</f>
        <v>1460</v>
      </c>
      <c r="S42">
        <f>RTD("tos.rtd", , "DELTA", ".SPXW240129P4325")</f>
        <v>0</v>
      </c>
      <c r="T42">
        <f>RTD("tos.rtd", , "GAMMA", ".SPXW240129P4325")</f>
        <v>0</v>
      </c>
    </row>
    <row r="43" spans="3:20" x14ac:dyDescent="0.25">
      <c r="C43" t="str">
        <f>RTD("tos.rtd", , "VOLUME", ".SPXW240129C4350")</f>
        <v>N/A</v>
      </c>
      <c r="D43">
        <f>RTD("tos.rtd", , "OPEN_INT", ".SPXW240129C4350")</f>
        <v>0</v>
      </c>
      <c r="E43">
        <f>RTD("tos.rtd", , "DELTA", ".SPXW240129C4350")</f>
        <v>1</v>
      </c>
      <c r="F43">
        <f>RTD("tos.rtd", , "GAMMA", ".SPXW240129C4350")</f>
        <v>0</v>
      </c>
      <c r="G43">
        <f>RTD("tos.rtd", , "BID", ".SPXW240129C4350")</f>
        <v>569.29999999999995</v>
      </c>
      <c r="H43" t="str">
        <f>RTD("tos.rtd", , "BX", ".SPXW240129C4350")</f>
        <v>C</v>
      </c>
      <c r="I43">
        <f>RTD("tos.rtd", , "ASK", ".SPXW240129C4350")</f>
        <v>587.70000000000005</v>
      </c>
      <c r="J43" t="str">
        <f>RTD("tos.rtd", , "AX", ".SPXW240129C4350")</f>
        <v>C</v>
      </c>
      <c r="K43" t="str">
        <f>RTD("tos.rtd", , "EXPIRATION_DAY", ".SPXW240129C4350")</f>
        <v>2024-01-29</v>
      </c>
      <c r="L43">
        <f>RTD("tos.rtd", , "STRIKE", ".SPXW240129C4350")</f>
        <v>4350</v>
      </c>
      <c r="M43">
        <f>RTD("tos.rtd", , "BID", ".SPXW240129P4350")</f>
        <v>0</v>
      </c>
      <c r="N43" t="str">
        <f>RTD("tos.rtd", , "BX", ".SPXW240129P4350")</f>
        <v>C</v>
      </c>
      <c r="O43">
        <f>RTD("tos.rtd", , "ASK", ".SPXW240129P4350")</f>
        <v>0.05</v>
      </c>
      <c r="P43" t="str">
        <f>RTD("tos.rtd", , "AX", ".SPXW240129P4350")</f>
        <v>C</v>
      </c>
      <c r="Q43" t="str">
        <f>RTD("tos.rtd", , "VOLUME", ".SPXW240129P4350")</f>
        <v>N/A</v>
      </c>
      <c r="R43">
        <f>RTD("tos.rtd", , "OPEN_INT", ".SPXW240129P4350")</f>
        <v>4171</v>
      </c>
      <c r="S43">
        <f>RTD("tos.rtd", , "DELTA", ".SPXW240129P4350")</f>
        <v>0</v>
      </c>
      <c r="T43">
        <f>RTD("tos.rtd", , "GAMMA", ".SPXW240129P4350")</f>
        <v>0</v>
      </c>
    </row>
    <row r="44" spans="3:20" x14ac:dyDescent="0.25">
      <c r="C44" t="str">
        <f>RTD("tos.rtd", , "VOLUME", ".SPXW240129C4370")</f>
        <v>N/A</v>
      </c>
      <c r="D44">
        <f>RTD("tos.rtd", , "OPEN_INT", ".SPXW240129C4370")</f>
        <v>0</v>
      </c>
      <c r="E44">
        <f>RTD("tos.rtd", , "DELTA", ".SPXW240129C4370")</f>
        <v>1</v>
      </c>
      <c r="F44">
        <f>RTD("tos.rtd", , "GAMMA", ".SPXW240129C4370")</f>
        <v>0</v>
      </c>
      <c r="G44">
        <f>RTD("tos.rtd", , "BID", ".SPXW240129C4370")</f>
        <v>549.29999999999995</v>
      </c>
      <c r="H44" t="str">
        <f>RTD("tos.rtd", , "BX", ".SPXW240129C4370")</f>
        <v>C</v>
      </c>
      <c r="I44">
        <f>RTD("tos.rtd", , "ASK", ".SPXW240129C4370")</f>
        <v>567.70000000000005</v>
      </c>
      <c r="J44" t="str">
        <f>RTD("tos.rtd", , "AX", ".SPXW240129C4370")</f>
        <v>C</v>
      </c>
      <c r="K44" t="str">
        <f>RTD("tos.rtd", , "EXPIRATION_DAY", ".SPXW240129C4370")</f>
        <v>2024-01-29</v>
      </c>
      <c r="L44">
        <f>RTD("tos.rtd", , "STRIKE", ".SPXW240129C4370")</f>
        <v>4370</v>
      </c>
      <c r="M44">
        <f>RTD("tos.rtd", , "BID", ".SPXW240129P4370")</f>
        <v>0</v>
      </c>
      <c r="N44" t="str">
        <f>RTD("tos.rtd", , "BX", ".SPXW240129P4370")</f>
        <v>C</v>
      </c>
      <c r="O44">
        <f>RTD("tos.rtd", , "ASK", ".SPXW240129P4370")</f>
        <v>0.05</v>
      </c>
      <c r="P44" t="str">
        <f>RTD("tos.rtd", , "AX", ".SPXW240129P4370")</f>
        <v>C</v>
      </c>
      <c r="Q44" t="str">
        <f>RTD("tos.rtd", , "VOLUME", ".SPXW240129P4370")</f>
        <v>N/A</v>
      </c>
      <c r="R44">
        <f>RTD("tos.rtd", , "OPEN_INT", ".SPXW240129P4370")</f>
        <v>824</v>
      </c>
      <c r="S44">
        <f>RTD("tos.rtd", , "DELTA", ".SPXW240129P4370")</f>
        <v>0</v>
      </c>
      <c r="T44">
        <f>RTD("tos.rtd", , "GAMMA", ".SPXW240129P4370")</f>
        <v>0</v>
      </c>
    </row>
    <row r="45" spans="3:20" x14ac:dyDescent="0.25">
      <c r="C45" t="str">
        <f>RTD("tos.rtd", , "VOLUME", ".SPXW240129C4375")</f>
        <v>N/A</v>
      </c>
      <c r="D45">
        <f>RTD("tos.rtd", , "OPEN_INT", ".SPXW240129C4375")</f>
        <v>0</v>
      </c>
      <c r="E45">
        <f>RTD("tos.rtd", , "DELTA", ".SPXW240129C4375")</f>
        <v>1</v>
      </c>
      <c r="F45">
        <f>RTD("tos.rtd", , "GAMMA", ".SPXW240129C4375")</f>
        <v>0</v>
      </c>
      <c r="G45">
        <f>RTD("tos.rtd", , "BID", ".SPXW240129C4375")</f>
        <v>544.29999999999995</v>
      </c>
      <c r="H45" t="str">
        <f>RTD("tos.rtd", , "BX", ".SPXW240129C4375")</f>
        <v>C</v>
      </c>
      <c r="I45">
        <f>RTD("tos.rtd", , "ASK", ".SPXW240129C4375")</f>
        <v>562.70000000000005</v>
      </c>
      <c r="J45" t="str">
        <f>RTD("tos.rtd", , "AX", ".SPXW240129C4375")</f>
        <v>C</v>
      </c>
      <c r="K45" t="str">
        <f>RTD("tos.rtd", , "EXPIRATION_DAY", ".SPXW240129C4375")</f>
        <v>2024-01-29</v>
      </c>
      <c r="L45">
        <f>RTD("tos.rtd", , "STRIKE", ".SPXW240129C4375")</f>
        <v>4375</v>
      </c>
      <c r="M45">
        <f>RTD("tos.rtd", , "BID", ".SPXW240129P4375")</f>
        <v>0</v>
      </c>
      <c r="N45" t="str">
        <f>RTD("tos.rtd", , "BX", ".SPXW240129P4375")</f>
        <v>C</v>
      </c>
      <c r="O45">
        <f>RTD("tos.rtd", , "ASK", ".SPXW240129P4375")</f>
        <v>0.05</v>
      </c>
      <c r="P45" t="str">
        <f>RTD("tos.rtd", , "AX", ".SPXW240129P4375")</f>
        <v>C</v>
      </c>
      <c r="Q45" t="str">
        <f>RTD("tos.rtd", , "VOLUME", ".SPXW240129P4375")</f>
        <v>N/A</v>
      </c>
      <c r="R45">
        <f>RTD("tos.rtd", , "OPEN_INT", ".SPXW240129P4375")</f>
        <v>2667</v>
      </c>
      <c r="S45">
        <f>RTD("tos.rtd", , "DELTA", ".SPXW240129P4375")</f>
        <v>0</v>
      </c>
      <c r="T45">
        <f>RTD("tos.rtd", , "GAMMA", ".SPXW240129P4375")</f>
        <v>0</v>
      </c>
    </row>
    <row r="46" spans="3:20" x14ac:dyDescent="0.25">
      <c r="C46" t="str">
        <f>RTD("tos.rtd", , "VOLUME", ".SPXW240129C4380")</f>
        <v>N/A</v>
      </c>
      <c r="D46">
        <f>RTD("tos.rtd", , "OPEN_INT", ".SPXW240129C4380")</f>
        <v>0</v>
      </c>
      <c r="E46">
        <f>RTD("tos.rtd", , "DELTA", ".SPXW240129C4380")</f>
        <v>1</v>
      </c>
      <c r="F46">
        <f>RTD("tos.rtd", , "GAMMA", ".SPXW240129C4380")</f>
        <v>0</v>
      </c>
      <c r="G46">
        <f>RTD("tos.rtd", , "BID", ".SPXW240129C4380")</f>
        <v>539.29999999999995</v>
      </c>
      <c r="H46" t="str">
        <f>RTD("tos.rtd", , "BX", ".SPXW240129C4380")</f>
        <v>C</v>
      </c>
      <c r="I46">
        <f>RTD("tos.rtd", , "ASK", ".SPXW240129C4380")</f>
        <v>557.70000000000005</v>
      </c>
      <c r="J46" t="str">
        <f>RTD("tos.rtd", , "AX", ".SPXW240129C4380")</f>
        <v>C</v>
      </c>
      <c r="K46" t="str">
        <f>RTD("tos.rtd", , "EXPIRATION_DAY", ".SPXW240129C4380")</f>
        <v>2024-01-29</v>
      </c>
      <c r="L46">
        <f>RTD("tos.rtd", , "STRIKE", ".SPXW240129C4380")</f>
        <v>4380</v>
      </c>
      <c r="M46">
        <f>RTD("tos.rtd", , "BID", ".SPXW240129P4380")</f>
        <v>0</v>
      </c>
      <c r="N46" t="str">
        <f>RTD("tos.rtd", , "BX", ".SPXW240129P4380")</f>
        <v>C</v>
      </c>
      <c r="O46">
        <f>RTD("tos.rtd", , "ASK", ".SPXW240129P4380")</f>
        <v>0.05</v>
      </c>
      <c r="P46" t="str">
        <f>RTD("tos.rtd", , "AX", ".SPXW240129P4380")</f>
        <v>C</v>
      </c>
      <c r="Q46" t="str">
        <f>RTD("tos.rtd", , "VOLUME", ".SPXW240129P4380")</f>
        <v>N/A</v>
      </c>
      <c r="R46">
        <f>RTD("tos.rtd", , "OPEN_INT", ".SPXW240129P4380")</f>
        <v>2064</v>
      </c>
      <c r="S46">
        <f>RTD("tos.rtd", , "DELTA", ".SPXW240129P4380")</f>
        <v>0</v>
      </c>
      <c r="T46">
        <f>RTD("tos.rtd", , "GAMMA", ".SPXW240129P4380")</f>
        <v>0</v>
      </c>
    </row>
    <row r="47" spans="3:20" x14ac:dyDescent="0.25">
      <c r="C47" t="str">
        <f>RTD("tos.rtd", , "VOLUME", ".SPXW240129C4390")</f>
        <v>N/A</v>
      </c>
      <c r="D47">
        <f>RTD("tos.rtd", , "OPEN_INT", ".SPXW240129C4390")</f>
        <v>0</v>
      </c>
      <c r="E47">
        <f>RTD("tos.rtd", , "DELTA", ".SPXW240129C4390")</f>
        <v>1</v>
      </c>
      <c r="F47">
        <f>RTD("tos.rtd", , "GAMMA", ".SPXW240129C4390")</f>
        <v>0</v>
      </c>
      <c r="G47">
        <f>RTD("tos.rtd", , "BID", ".SPXW240129C4390")</f>
        <v>529.29999999999995</v>
      </c>
      <c r="H47" t="str">
        <f>RTD("tos.rtd", , "BX", ".SPXW240129C4390")</f>
        <v>C</v>
      </c>
      <c r="I47">
        <f>RTD("tos.rtd", , "ASK", ".SPXW240129C4390")</f>
        <v>547.70000000000005</v>
      </c>
      <c r="J47" t="str">
        <f>RTD("tos.rtd", , "AX", ".SPXW240129C4390")</f>
        <v>C</v>
      </c>
      <c r="K47" t="str">
        <f>RTD("tos.rtd", , "EXPIRATION_DAY", ".SPXW240129C4390")</f>
        <v>2024-01-29</v>
      </c>
      <c r="L47">
        <f>RTD("tos.rtd", , "STRIKE", ".SPXW240129C4390")</f>
        <v>4390</v>
      </c>
      <c r="M47">
        <f>RTD("tos.rtd", , "BID", ".SPXW240129P4390")</f>
        <v>0</v>
      </c>
      <c r="N47" t="str">
        <f>RTD("tos.rtd", , "BX", ".SPXW240129P4390")</f>
        <v>C</v>
      </c>
      <c r="O47">
        <f>RTD("tos.rtd", , "ASK", ".SPXW240129P4390")</f>
        <v>0.05</v>
      </c>
      <c r="P47" t="str">
        <f>RTD("tos.rtd", , "AX", ".SPXW240129P4390")</f>
        <v>C</v>
      </c>
      <c r="Q47" t="str">
        <f>RTD("tos.rtd", , "VOLUME", ".SPXW240129P4390")</f>
        <v>N/A</v>
      </c>
      <c r="R47">
        <f>RTD("tos.rtd", , "OPEN_INT", ".SPXW240129P4390")</f>
        <v>125</v>
      </c>
      <c r="S47">
        <f>RTD("tos.rtd", , "DELTA", ".SPXW240129P4390")</f>
        <v>0</v>
      </c>
      <c r="T47">
        <f>RTD("tos.rtd", , "GAMMA", ".SPXW240129P4390")</f>
        <v>0</v>
      </c>
    </row>
    <row r="48" spans="3:20" x14ac:dyDescent="0.25">
      <c r="C48" t="str">
        <f>RTD("tos.rtd", , "VOLUME", ".SPXW240129C4400")</f>
        <v>N/A</v>
      </c>
      <c r="D48">
        <f>RTD("tos.rtd", , "OPEN_INT", ".SPXW240129C4400")</f>
        <v>0</v>
      </c>
      <c r="E48">
        <f>RTD("tos.rtd", , "DELTA", ".SPXW240129C4400")</f>
        <v>1</v>
      </c>
      <c r="F48">
        <f>RTD("tos.rtd", , "GAMMA", ".SPXW240129C4400")</f>
        <v>0</v>
      </c>
      <c r="G48">
        <f>RTD("tos.rtd", , "BID", ".SPXW240129C4400")</f>
        <v>519.29999999999995</v>
      </c>
      <c r="H48" t="str">
        <f>RTD("tos.rtd", , "BX", ".SPXW240129C4400")</f>
        <v>C</v>
      </c>
      <c r="I48">
        <f>RTD("tos.rtd", , "ASK", ".SPXW240129C4400")</f>
        <v>537.70000000000005</v>
      </c>
      <c r="J48" t="str">
        <f>RTD("tos.rtd", , "AX", ".SPXW240129C4400")</f>
        <v>C</v>
      </c>
      <c r="K48" t="str">
        <f>RTD("tos.rtd", , "EXPIRATION_DAY", ".SPXW240129C4400")</f>
        <v>2024-01-29</v>
      </c>
      <c r="L48">
        <f>RTD("tos.rtd", , "STRIKE", ".SPXW240129C4400")</f>
        <v>4400</v>
      </c>
      <c r="M48">
        <f>RTD("tos.rtd", , "BID", ".SPXW240129P4400")</f>
        <v>0</v>
      </c>
      <c r="N48" t="str">
        <f>RTD("tos.rtd", , "BX", ".SPXW240129P4400")</f>
        <v>C</v>
      </c>
      <c r="O48">
        <f>RTD("tos.rtd", , "ASK", ".SPXW240129P4400")</f>
        <v>0.05</v>
      </c>
      <c r="P48" t="str">
        <f>RTD("tos.rtd", , "AX", ".SPXW240129P4400")</f>
        <v>C</v>
      </c>
      <c r="Q48" t="str">
        <f>RTD("tos.rtd", , "VOLUME", ".SPXW240129P4400")</f>
        <v>N/A</v>
      </c>
      <c r="R48">
        <f>RTD("tos.rtd", , "OPEN_INT", ".SPXW240129P4400")</f>
        <v>2065</v>
      </c>
      <c r="S48">
        <f>RTD("tos.rtd", , "DELTA", ".SPXW240129P4400")</f>
        <v>0</v>
      </c>
      <c r="T48">
        <f>RTD("tos.rtd", , "GAMMA", ".SPXW240129P4400")</f>
        <v>0</v>
      </c>
    </row>
    <row r="49" spans="3:20" x14ac:dyDescent="0.25">
      <c r="C49" t="str">
        <f>RTD("tos.rtd", , "VOLUME", ".SPXW240129C4410")</f>
        <v>N/A</v>
      </c>
      <c r="D49">
        <f>RTD("tos.rtd", , "OPEN_INT", ".SPXW240129C4410")</f>
        <v>0</v>
      </c>
      <c r="E49">
        <f>RTD("tos.rtd", , "DELTA", ".SPXW240129C4410")</f>
        <v>1</v>
      </c>
      <c r="F49">
        <f>RTD("tos.rtd", , "GAMMA", ".SPXW240129C4410")</f>
        <v>0</v>
      </c>
      <c r="G49">
        <f>RTD("tos.rtd", , "BID", ".SPXW240129C4410")</f>
        <v>509.3</v>
      </c>
      <c r="H49" t="str">
        <f>RTD("tos.rtd", , "BX", ".SPXW240129C4410")</f>
        <v>C</v>
      </c>
      <c r="I49">
        <f>RTD("tos.rtd", , "ASK", ".SPXW240129C4410")</f>
        <v>527.70000000000005</v>
      </c>
      <c r="J49" t="str">
        <f>RTD("tos.rtd", , "AX", ".SPXW240129C4410")</f>
        <v>C</v>
      </c>
      <c r="K49" t="str">
        <f>RTD("tos.rtd", , "EXPIRATION_DAY", ".SPXW240129C4410")</f>
        <v>2024-01-29</v>
      </c>
      <c r="L49">
        <f>RTD("tos.rtd", , "STRIKE", ".SPXW240129C4410")</f>
        <v>4410</v>
      </c>
      <c r="M49">
        <f>RTD("tos.rtd", , "BID", ".SPXW240129P4410")</f>
        <v>0</v>
      </c>
      <c r="N49" t="str">
        <f>RTD("tos.rtd", , "BX", ".SPXW240129P4410")</f>
        <v>C</v>
      </c>
      <c r="O49">
        <f>RTD("tos.rtd", , "ASK", ".SPXW240129P4410")</f>
        <v>0.05</v>
      </c>
      <c r="P49" t="str">
        <f>RTD("tos.rtd", , "AX", ".SPXW240129P4410")</f>
        <v>C</v>
      </c>
      <c r="Q49" t="str">
        <f>RTD("tos.rtd", , "VOLUME", ".SPXW240129P4410")</f>
        <v>N/A</v>
      </c>
      <c r="R49">
        <f>RTD("tos.rtd", , "OPEN_INT", ".SPXW240129P4410")</f>
        <v>163</v>
      </c>
      <c r="S49">
        <f>RTD("tos.rtd", , "DELTA", ".SPXW240129P4410")</f>
        <v>0</v>
      </c>
      <c r="T49">
        <f>RTD("tos.rtd", , "GAMMA", ".SPXW240129P4410")</f>
        <v>0</v>
      </c>
    </row>
    <row r="50" spans="3:20" x14ac:dyDescent="0.25">
      <c r="C50" t="str">
        <f>RTD("tos.rtd", , "VOLUME", ".SPXW240129C4420")</f>
        <v>N/A</v>
      </c>
      <c r="D50">
        <f>RTD("tos.rtd", , "OPEN_INT", ".SPXW240129C4420")</f>
        <v>0</v>
      </c>
      <c r="E50">
        <f>RTD("tos.rtd", , "DELTA", ".SPXW240129C4420")</f>
        <v>1</v>
      </c>
      <c r="F50">
        <f>RTD("tos.rtd", , "GAMMA", ".SPXW240129C4420")</f>
        <v>0</v>
      </c>
      <c r="G50">
        <f>RTD("tos.rtd", , "BID", ".SPXW240129C4420")</f>
        <v>499.3</v>
      </c>
      <c r="H50" t="str">
        <f>RTD("tos.rtd", , "BX", ".SPXW240129C4420")</f>
        <v>C</v>
      </c>
      <c r="I50">
        <f>RTD("tos.rtd", , "ASK", ".SPXW240129C4420")</f>
        <v>517.70000000000005</v>
      </c>
      <c r="J50" t="str">
        <f>RTD("tos.rtd", , "AX", ".SPXW240129C4420")</f>
        <v>C</v>
      </c>
      <c r="K50" t="str">
        <f>RTD("tos.rtd", , "EXPIRATION_DAY", ".SPXW240129C4420")</f>
        <v>2024-01-29</v>
      </c>
      <c r="L50">
        <f>RTD("tos.rtd", , "STRIKE", ".SPXW240129C4420")</f>
        <v>4420</v>
      </c>
      <c r="M50">
        <f>RTD("tos.rtd", , "BID", ".SPXW240129P4420")</f>
        <v>0</v>
      </c>
      <c r="N50" t="str">
        <f>RTD("tos.rtd", , "BX", ".SPXW240129P4420")</f>
        <v>C</v>
      </c>
      <c r="O50">
        <f>RTD("tos.rtd", , "ASK", ".SPXW240129P4420")</f>
        <v>0.05</v>
      </c>
      <c r="P50" t="str">
        <f>RTD("tos.rtd", , "AX", ".SPXW240129P4420")</f>
        <v>C</v>
      </c>
      <c r="Q50" t="str">
        <f>RTD("tos.rtd", , "VOLUME", ".SPXW240129P4420")</f>
        <v>N/A</v>
      </c>
      <c r="R50">
        <f>RTD("tos.rtd", , "OPEN_INT", ".SPXW240129P4420")</f>
        <v>152</v>
      </c>
      <c r="S50">
        <f>RTD("tos.rtd", , "DELTA", ".SPXW240129P4420")</f>
        <v>0</v>
      </c>
      <c r="T50">
        <f>RTD("tos.rtd", , "GAMMA", ".SPXW240129P4420")</f>
        <v>0</v>
      </c>
    </row>
    <row r="51" spans="3:20" x14ac:dyDescent="0.25">
      <c r="C51" t="str">
        <f>RTD("tos.rtd", , "VOLUME", ".SPXW240129C4425")</f>
        <v>N/A</v>
      </c>
      <c r="D51">
        <f>RTD("tos.rtd", , "OPEN_INT", ".SPXW240129C4425")</f>
        <v>0</v>
      </c>
      <c r="E51">
        <f>RTD("tos.rtd", , "DELTA", ".SPXW240129C4425")</f>
        <v>1</v>
      </c>
      <c r="F51">
        <f>RTD("tos.rtd", , "GAMMA", ".SPXW240129C4425")</f>
        <v>0</v>
      </c>
      <c r="G51">
        <f>RTD("tos.rtd", , "BID", ".SPXW240129C4425")</f>
        <v>494.3</v>
      </c>
      <c r="H51" t="str">
        <f>RTD("tos.rtd", , "BX", ".SPXW240129C4425")</f>
        <v>C</v>
      </c>
      <c r="I51">
        <f>RTD("tos.rtd", , "ASK", ".SPXW240129C4425")</f>
        <v>512.70000000000005</v>
      </c>
      <c r="J51" t="str">
        <f>RTD("tos.rtd", , "AX", ".SPXW240129C4425")</f>
        <v>C</v>
      </c>
      <c r="K51" t="str">
        <f>RTD("tos.rtd", , "EXPIRATION_DAY", ".SPXW240129C4425")</f>
        <v>2024-01-29</v>
      </c>
      <c r="L51">
        <f>RTD("tos.rtd", , "STRIKE", ".SPXW240129C4425")</f>
        <v>4425</v>
      </c>
      <c r="M51">
        <f>RTD("tos.rtd", , "BID", ".SPXW240129P4425")</f>
        <v>0</v>
      </c>
      <c r="N51" t="str">
        <f>RTD("tos.rtd", , "BX", ".SPXW240129P4425")</f>
        <v>C</v>
      </c>
      <c r="O51">
        <f>RTD("tos.rtd", , "ASK", ".SPXW240129P4425")</f>
        <v>0.05</v>
      </c>
      <c r="P51" t="str">
        <f>RTD("tos.rtd", , "AX", ".SPXW240129P4425")</f>
        <v>C</v>
      </c>
      <c r="Q51" t="str">
        <f>RTD("tos.rtd", , "VOLUME", ".SPXW240129P4425")</f>
        <v>N/A</v>
      </c>
      <c r="R51">
        <f>RTD("tos.rtd", , "OPEN_INT", ".SPXW240129P4425")</f>
        <v>849</v>
      </c>
      <c r="S51">
        <f>RTD("tos.rtd", , "DELTA", ".SPXW240129P4425")</f>
        <v>0</v>
      </c>
      <c r="T51">
        <f>RTD("tos.rtd", , "GAMMA", ".SPXW240129P4425")</f>
        <v>0</v>
      </c>
    </row>
    <row r="52" spans="3:20" x14ac:dyDescent="0.25">
      <c r="C52" t="str">
        <f>RTD("tos.rtd", , "VOLUME", ".SPXW240129C4430")</f>
        <v>N/A</v>
      </c>
      <c r="D52">
        <f>RTD("tos.rtd", , "OPEN_INT", ".SPXW240129C4430")</f>
        <v>0</v>
      </c>
      <c r="E52">
        <f>RTD("tos.rtd", , "DELTA", ".SPXW240129C4430")</f>
        <v>1</v>
      </c>
      <c r="F52">
        <f>RTD("tos.rtd", , "GAMMA", ".SPXW240129C4430")</f>
        <v>0</v>
      </c>
      <c r="G52">
        <f>RTD("tos.rtd", , "BID", ".SPXW240129C4430")</f>
        <v>489.3</v>
      </c>
      <c r="H52" t="str">
        <f>RTD("tos.rtd", , "BX", ".SPXW240129C4430")</f>
        <v>C</v>
      </c>
      <c r="I52">
        <f>RTD("tos.rtd", , "ASK", ".SPXW240129C4430")</f>
        <v>507.7</v>
      </c>
      <c r="J52" t="str">
        <f>RTD("tos.rtd", , "AX", ".SPXW240129C4430")</f>
        <v>C</v>
      </c>
      <c r="K52" t="str">
        <f>RTD("tos.rtd", , "EXPIRATION_DAY", ".SPXW240129C4430")</f>
        <v>2024-01-29</v>
      </c>
      <c r="L52">
        <f>RTD("tos.rtd", , "STRIKE", ".SPXW240129C4430")</f>
        <v>4430</v>
      </c>
      <c r="M52">
        <f>RTD("tos.rtd", , "BID", ".SPXW240129P4430")</f>
        <v>0</v>
      </c>
      <c r="N52" t="str">
        <f>RTD("tos.rtd", , "BX", ".SPXW240129P4430")</f>
        <v>C</v>
      </c>
      <c r="O52">
        <f>RTD("tos.rtd", , "ASK", ".SPXW240129P4430")</f>
        <v>0.05</v>
      </c>
      <c r="P52" t="str">
        <f>RTD("tos.rtd", , "AX", ".SPXW240129P4430")</f>
        <v>C</v>
      </c>
      <c r="Q52" t="str">
        <f>RTD("tos.rtd", , "VOLUME", ".SPXW240129P4430")</f>
        <v>N/A</v>
      </c>
      <c r="R52">
        <f>RTD("tos.rtd", , "OPEN_INT", ".SPXW240129P4430")</f>
        <v>123</v>
      </c>
      <c r="S52">
        <f>RTD("tos.rtd", , "DELTA", ".SPXW240129P4430")</f>
        <v>0</v>
      </c>
      <c r="T52">
        <f>RTD("tos.rtd", , "GAMMA", ".SPXW240129P4430")</f>
        <v>0</v>
      </c>
    </row>
    <row r="53" spans="3:20" x14ac:dyDescent="0.25">
      <c r="C53" t="str">
        <f>RTD("tos.rtd", , "VOLUME", ".SPXW240129C4440")</f>
        <v>N/A</v>
      </c>
      <c r="D53">
        <f>RTD("tos.rtd", , "OPEN_INT", ".SPXW240129C4440")</f>
        <v>0</v>
      </c>
      <c r="E53">
        <f>RTD("tos.rtd", , "DELTA", ".SPXW240129C4440")</f>
        <v>1</v>
      </c>
      <c r="F53">
        <f>RTD("tos.rtd", , "GAMMA", ".SPXW240129C4440")</f>
        <v>0</v>
      </c>
      <c r="G53">
        <f>RTD("tos.rtd", , "BID", ".SPXW240129C4440")</f>
        <v>479.3</v>
      </c>
      <c r="H53" t="str">
        <f>RTD("tos.rtd", , "BX", ".SPXW240129C4440")</f>
        <v>C</v>
      </c>
      <c r="I53">
        <f>RTD("tos.rtd", , "ASK", ".SPXW240129C4440")</f>
        <v>497.7</v>
      </c>
      <c r="J53" t="str">
        <f>RTD("tos.rtd", , "AX", ".SPXW240129C4440")</f>
        <v>C</v>
      </c>
      <c r="K53" t="str">
        <f>RTD("tos.rtd", , "EXPIRATION_DAY", ".SPXW240129C4440")</f>
        <v>2024-01-29</v>
      </c>
      <c r="L53">
        <f>RTD("tos.rtd", , "STRIKE", ".SPXW240129C4440")</f>
        <v>4440</v>
      </c>
      <c r="M53">
        <f>RTD("tos.rtd", , "BID", ".SPXW240129P4440")</f>
        <v>0</v>
      </c>
      <c r="N53" t="str">
        <f>RTD("tos.rtd", , "BX", ".SPXW240129P4440")</f>
        <v>C</v>
      </c>
      <c r="O53">
        <f>RTD("tos.rtd", , "ASK", ".SPXW240129P4440")</f>
        <v>0.05</v>
      </c>
      <c r="P53" t="str">
        <f>RTD("tos.rtd", , "AX", ".SPXW240129P4440")</f>
        <v>C</v>
      </c>
      <c r="Q53" t="str">
        <f>RTD("tos.rtd", , "VOLUME", ".SPXW240129P4440")</f>
        <v>N/A</v>
      </c>
      <c r="R53">
        <f>RTD("tos.rtd", , "OPEN_INT", ".SPXW240129P4440")</f>
        <v>359</v>
      </c>
      <c r="S53">
        <f>RTD("tos.rtd", , "DELTA", ".SPXW240129P4440")</f>
        <v>0</v>
      </c>
      <c r="T53">
        <f>RTD("tos.rtd", , "GAMMA", ".SPXW240129P4440")</f>
        <v>0</v>
      </c>
    </row>
    <row r="54" spans="3:20" x14ac:dyDescent="0.25">
      <c r="C54" t="str">
        <f>RTD("tos.rtd", , "VOLUME", ".SPXW240129C4450")</f>
        <v>N/A</v>
      </c>
      <c r="D54">
        <f>RTD("tos.rtd", , "OPEN_INT", ".SPXW240129C4450")</f>
        <v>0</v>
      </c>
      <c r="E54">
        <f>RTD("tos.rtd", , "DELTA", ".SPXW240129C4450")</f>
        <v>1</v>
      </c>
      <c r="F54">
        <f>RTD("tos.rtd", , "GAMMA", ".SPXW240129C4450")</f>
        <v>0</v>
      </c>
      <c r="G54">
        <f>RTD("tos.rtd", , "BID", ".SPXW240129C4450")</f>
        <v>469.3</v>
      </c>
      <c r="H54" t="str">
        <f>RTD("tos.rtd", , "BX", ".SPXW240129C4450")</f>
        <v>C</v>
      </c>
      <c r="I54">
        <f>RTD("tos.rtd", , "ASK", ".SPXW240129C4450")</f>
        <v>487.7</v>
      </c>
      <c r="J54" t="str">
        <f>RTD("tos.rtd", , "AX", ".SPXW240129C4450")</f>
        <v>C</v>
      </c>
      <c r="K54" t="str">
        <f>RTD("tos.rtd", , "EXPIRATION_DAY", ".SPXW240129C4450")</f>
        <v>2024-01-29</v>
      </c>
      <c r="L54">
        <f>RTD("tos.rtd", , "STRIKE", ".SPXW240129C4450")</f>
        <v>4450</v>
      </c>
      <c r="M54">
        <f>RTD("tos.rtd", , "BID", ".SPXW240129P4450")</f>
        <v>0</v>
      </c>
      <c r="N54" t="str">
        <f>RTD("tos.rtd", , "BX", ".SPXW240129P4450")</f>
        <v>C</v>
      </c>
      <c r="O54">
        <f>RTD("tos.rtd", , "ASK", ".SPXW240129P4450")</f>
        <v>0.05</v>
      </c>
      <c r="P54" t="str">
        <f>RTD("tos.rtd", , "AX", ".SPXW240129P4450")</f>
        <v>C</v>
      </c>
      <c r="Q54" t="str">
        <f>RTD("tos.rtd", , "VOLUME", ".SPXW240129P4450")</f>
        <v>N/A</v>
      </c>
      <c r="R54">
        <f>RTD("tos.rtd", , "OPEN_INT", ".SPXW240129P4450")</f>
        <v>757</v>
      </c>
      <c r="S54">
        <f>RTD("tos.rtd", , "DELTA", ".SPXW240129P4450")</f>
        <v>0</v>
      </c>
      <c r="T54">
        <f>RTD("tos.rtd", , "GAMMA", ".SPXW240129P4450")</f>
        <v>0</v>
      </c>
    </row>
    <row r="55" spans="3:20" x14ac:dyDescent="0.25">
      <c r="C55" t="str">
        <f>RTD("tos.rtd", , "VOLUME", ".SPXW240129C4460")</f>
        <v>N/A</v>
      </c>
      <c r="D55">
        <f>RTD("tos.rtd", , "OPEN_INT", ".SPXW240129C4460")</f>
        <v>0</v>
      </c>
      <c r="E55">
        <f>RTD("tos.rtd", , "DELTA", ".SPXW240129C4460")</f>
        <v>1</v>
      </c>
      <c r="F55">
        <f>RTD("tos.rtd", , "GAMMA", ".SPXW240129C4460")</f>
        <v>0</v>
      </c>
      <c r="G55">
        <f>RTD("tos.rtd", , "BID", ".SPXW240129C4460")</f>
        <v>459.3</v>
      </c>
      <c r="H55" t="str">
        <f>RTD("tos.rtd", , "BX", ".SPXW240129C4460")</f>
        <v>C</v>
      </c>
      <c r="I55">
        <f>RTD("tos.rtd", , "ASK", ".SPXW240129C4460")</f>
        <v>477.7</v>
      </c>
      <c r="J55" t="str">
        <f>RTD("tos.rtd", , "AX", ".SPXW240129C4460")</f>
        <v>C</v>
      </c>
      <c r="K55" t="str">
        <f>RTD("tos.rtd", , "EXPIRATION_DAY", ".SPXW240129C4460")</f>
        <v>2024-01-29</v>
      </c>
      <c r="L55">
        <f>RTD("tos.rtd", , "STRIKE", ".SPXW240129C4460")</f>
        <v>4460</v>
      </c>
      <c r="M55">
        <f>RTD("tos.rtd", , "BID", ".SPXW240129P4460")</f>
        <v>0</v>
      </c>
      <c r="N55" t="str">
        <f>RTD("tos.rtd", , "BX", ".SPXW240129P4460")</f>
        <v>C</v>
      </c>
      <c r="O55">
        <f>RTD("tos.rtd", , "ASK", ".SPXW240129P4460")</f>
        <v>0.05</v>
      </c>
      <c r="P55" t="str">
        <f>RTD("tos.rtd", , "AX", ".SPXW240129P4460")</f>
        <v>C</v>
      </c>
      <c r="Q55" t="str">
        <f>RTD("tos.rtd", , "VOLUME", ".SPXW240129P4460")</f>
        <v>N/A</v>
      </c>
      <c r="R55">
        <f>RTD("tos.rtd", , "OPEN_INT", ".SPXW240129P4460")</f>
        <v>754</v>
      </c>
      <c r="S55">
        <f>RTD("tos.rtd", , "DELTA", ".SPXW240129P4460")</f>
        <v>0</v>
      </c>
      <c r="T55">
        <f>RTD("tos.rtd", , "GAMMA", ".SPXW240129P4460")</f>
        <v>0</v>
      </c>
    </row>
    <row r="56" spans="3:20" x14ac:dyDescent="0.25">
      <c r="C56" t="str">
        <f>RTD("tos.rtd", , "VOLUME", ".SPXW240129C4470")</f>
        <v>N/A</v>
      </c>
      <c r="D56">
        <f>RTD("tos.rtd", , "OPEN_INT", ".SPXW240129C4470")</f>
        <v>0</v>
      </c>
      <c r="E56">
        <f>RTD("tos.rtd", , "DELTA", ".SPXW240129C4470")</f>
        <v>1</v>
      </c>
      <c r="F56">
        <f>RTD("tos.rtd", , "GAMMA", ".SPXW240129C4470")</f>
        <v>0</v>
      </c>
      <c r="G56">
        <f>RTD("tos.rtd", , "BID", ".SPXW240129C4470")</f>
        <v>449.3</v>
      </c>
      <c r="H56" t="str">
        <f>RTD("tos.rtd", , "BX", ".SPXW240129C4470")</f>
        <v>C</v>
      </c>
      <c r="I56">
        <f>RTD("tos.rtd", , "ASK", ".SPXW240129C4470")</f>
        <v>467.7</v>
      </c>
      <c r="J56" t="str">
        <f>RTD("tos.rtd", , "AX", ".SPXW240129C4470")</f>
        <v>C</v>
      </c>
      <c r="K56" t="str">
        <f>RTD("tos.rtd", , "EXPIRATION_DAY", ".SPXW240129C4470")</f>
        <v>2024-01-29</v>
      </c>
      <c r="L56">
        <f>RTD("tos.rtd", , "STRIKE", ".SPXW240129C4470")</f>
        <v>4470</v>
      </c>
      <c r="M56">
        <f>RTD("tos.rtd", , "BID", ".SPXW240129P4470")</f>
        <v>0</v>
      </c>
      <c r="N56" t="str">
        <f>RTD("tos.rtd", , "BX", ".SPXW240129P4470")</f>
        <v>C</v>
      </c>
      <c r="O56">
        <f>RTD("tos.rtd", , "ASK", ".SPXW240129P4470")</f>
        <v>0.05</v>
      </c>
      <c r="P56" t="str">
        <f>RTD("tos.rtd", , "AX", ".SPXW240129P4470")</f>
        <v>C</v>
      </c>
      <c r="Q56" t="str">
        <f>RTD("tos.rtd", , "VOLUME", ".SPXW240129P4470")</f>
        <v>N/A</v>
      </c>
      <c r="R56">
        <f>RTD("tos.rtd", , "OPEN_INT", ".SPXW240129P4470")</f>
        <v>577</v>
      </c>
      <c r="S56">
        <f>RTD("tos.rtd", , "DELTA", ".SPXW240129P4470")</f>
        <v>0</v>
      </c>
      <c r="T56">
        <f>RTD("tos.rtd", , "GAMMA", ".SPXW240129P4470")</f>
        <v>0</v>
      </c>
    </row>
    <row r="57" spans="3:20" x14ac:dyDescent="0.25">
      <c r="C57" t="str">
        <f>RTD("tos.rtd", , "VOLUME", ".SPXW240129C4475")</f>
        <v>N/A</v>
      </c>
      <c r="D57">
        <f>RTD("tos.rtd", , "OPEN_INT", ".SPXW240129C4475")</f>
        <v>0</v>
      </c>
      <c r="E57">
        <f>RTD("tos.rtd", , "DELTA", ".SPXW240129C4475")</f>
        <v>1</v>
      </c>
      <c r="F57">
        <f>RTD("tos.rtd", , "GAMMA", ".SPXW240129C4475")</f>
        <v>0</v>
      </c>
      <c r="G57">
        <f>RTD("tos.rtd", , "BID", ".SPXW240129C4475")</f>
        <v>444.3</v>
      </c>
      <c r="H57" t="str">
        <f>RTD("tos.rtd", , "BX", ".SPXW240129C4475")</f>
        <v>C</v>
      </c>
      <c r="I57">
        <f>RTD("tos.rtd", , "ASK", ".SPXW240129C4475")</f>
        <v>462.7</v>
      </c>
      <c r="J57" t="str">
        <f>RTD("tos.rtd", , "AX", ".SPXW240129C4475")</f>
        <v>C</v>
      </c>
      <c r="K57" t="str">
        <f>RTD("tos.rtd", , "EXPIRATION_DAY", ".SPXW240129C4475")</f>
        <v>2024-01-29</v>
      </c>
      <c r="L57">
        <f>RTD("tos.rtd", , "STRIKE", ".SPXW240129C4475")</f>
        <v>4475</v>
      </c>
      <c r="M57">
        <f>RTD("tos.rtd", , "BID", ".SPXW240129P4475")</f>
        <v>0</v>
      </c>
      <c r="N57" t="str">
        <f>RTD("tos.rtd", , "BX", ".SPXW240129P4475")</f>
        <v>C</v>
      </c>
      <c r="O57">
        <f>RTD("tos.rtd", , "ASK", ".SPXW240129P4475")</f>
        <v>0.05</v>
      </c>
      <c r="P57" t="str">
        <f>RTD("tos.rtd", , "AX", ".SPXW240129P4475")</f>
        <v>C</v>
      </c>
      <c r="Q57" t="str">
        <f>RTD("tos.rtd", , "VOLUME", ".SPXW240129P4475")</f>
        <v>N/A</v>
      </c>
      <c r="R57">
        <f>RTD("tos.rtd", , "OPEN_INT", ".SPXW240129P4475")</f>
        <v>134</v>
      </c>
      <c r="S57">
        <f>RTD("tos.rtd", , "DELTA", ".SPXW240129P4475")</f>
        <v>0</v>
      </c>
      <c r="T57">
        <f>RTD("tos.rtd", , "GAMMA", ".SPXW240129P4475")</f>
        <v>0</v>
      </c>
    </row>
    <row r="58" spans="3:20" x14ac:dyDescent="0.25">
      <c r="C58" t="str">
        <f>RTD("tos.rtd", , "VOLUME", ".SPXW240129C4480")</f>
        <v>N/A</v>
      </c>
      <c r="D58">
        <f>RTD("tos.rtd", , "OPEN_INT", ".SPXW240129C4480")</f>
        <v>0</v>
      </c>
      <c r="E58">
        <f>RTD("tos.rtd", , "DELTA", ".SPXW240129C4480")</f>
        <v>1</v>
      </c>
      <c r="F58">
        <f>RTD("tos.rtd", , "GAMMA", ".SPXW240129C4480")</f>
        <v>0</v>
      </c>
      <c r="G58">
        <f>RTD("tos.rtd", , "BID", ".SPXW240129C4480")</f>
        <v>439.3</v>
      </c>
      <c r="H58" t="str">
        <f>RTD("tos.rtd", , "BX", ".SPXW240129C4480")</f>
        <v>C</v>
      </c>
      <c r="I58">
        <f>RTD("tos.rtd", , "ASK", ".SPXW240129C4480")</f>
        <v>457.7</v>
      </c>
      <c r="J58" t="str">
        <f>RTD("tos.rtd", , "AX", ".SPXW240129C4480")</f>
        <v>C</v>
      </c>
      <c r="K58" t="str">
        <f>RTD("tos.rtd", , "EXPIRATION_DAY", ".SPXW240129C4480")</f>
        <v>2024-01-29</v>
      </c>
      <c r="L58">
        <f>RTD("tos.rtd", , "STRIKE", ".SPXW240129C4480")</f>
        <v>4480</v>
      </c>
      <c r="M58">
        <f>RTD("tos.rtd", , "BID", ".SPXW240129P4480")</f>
        <v>0</v>
      </c>
      <c r="N58" t="str">
        <f>RTD("tos.rtd", , "BX", ".SPXW240129P4480")</f>
        <v>C</v>
      </c>
      <c r="O58">
        <f>RTD("tos.rtd", , "ASK", ".SPXW240129P4480")</f>
        <v>0.05</v>
      </c>
      <c r="P58" t="str">
        <f>RTD("tos.rtd", , "AX", ".SPXW240129P4480")</f>
        <v>C</v>
      </c>
      <c r="Q58" t="str">
        <f>RTD("tos.rtd", , "VOLUME", ".SPXW240129P4480")</f>
        <v>N/A</v>
      </c>
      <c r="R58">
        <f>RTD("tos.rtd", , "OPEN_INT", ".SPXW240129P4480")</f>
        <v>183</v>
      </c>
      <c r="S58">
        <f>RTD("tos.rtd", , "DELTA", ".SPXW240129P4480")</f>
        <v>0</v>
      </c>
      <c r="T58">
        <f>RTD("tos.rtd", , "GAMMA", ".SPXW240129P4480")</f>
        <v>0</v>
      </c>
    </row>
    <row r="59" spans="3:20" x14ac:dyDescent="0.25">
      <c r="C59" t="str">
        <f>RTD("tos.rtd", , "VOLUME", ".SPXW240129C4490")</f>
        <v>N/A</v>
      </c>
      <c r="D59">
        <f>RTD("tos.rtd", , "OPEN_INT", ".SPXW240129C4490")</f>
        <v>0</v>
      </c>
      <c r="E59">
        <f>RTD("tos.rtd", , "DELTA", ".SPXW240129C4490")</f>
        <v>1</v>
      </c>
      <c r="F59">
        <f>RTD("tos.rtd", , "GAMMA", ".SPXW240129C4490")</f>
        <v>0</v>
      </c>
      <c r="G59">
        <f>RTD("tos.rtd", , "BID", ".SPXW240129C4490")</f>
        <v>429.3</v>
      </c>
      <c r="H59" t="str">
        <f>RTD("tos.rtd", , "BX", ".SPXW240129C4490")</f>
        <v>C</v>
      </c>
      <c r="I59">
        <f>RTD("tos.rtd", , "ASK", ".SPXW240129C4490")</f>
        <v>447.7</v>
      </c>
      <c r="J59" t="str">
        <f>RTD("tos.rtd", , "AX", ".SPXW240129C4490")</f>
        <v>C</v>
      </c>
      <c r="K59" t="str">
        <f>RTD("tos.rtd", , "EXPIRATION_DAY", ".SPXW240129C4490")</f>
        <v>2024-01-29</v>
      </c>
      <c r="L59">
        <f>RTD("tos.rtd", , "STRIKE", ".SPXW240129C4490")</f>
        <v>4490</v>
      </c>
      <c r="M59">
        <f>RTD("tos.rtd", , "BID", ".SPXW240129P4490")</f>
        <v>0</v>
      </c>
      <c r="N59" t="str">
        <f>RTD("tos.rtd", , "BX", ".SPXW240129P4490")</f>
        <v>C</v>
      </c>
      <c r="O59">
        <f>RTD("tos.rtd", , "ASK", ".SPXW240129P4490")</f>
        <v>0.05</v>
      </c>
      <c r="P59" t="str">
        <f>RTD("tos.rtd", , "AX", ".SPXW240129P4490")</f>
        <v>C</v>
      </c>
      <c r="Q59" t="str">
        <f>RTD("tos.rtd", , "VOLUME", ".SPXW240129P4490")</f>
        <v>N/A</v>
      </c>
      <c r="R59">
        <f>RTD("tos.rtd", , "OPEN_INT", ".SPXW240129P4490")</f>
        <v>605</v>
      </c>
      <c r="S59">
        <f>RTD("tos.rtd", , "DELTA", ".SPXW240129P4490")</f>
        <v>0</v>
      </c>
      <c r="T59">
        <f>RTD("tos.rtd", , "GAMMA", ".SPXW240129P4490")</f>
        <v>0</v>
      </c>
    </row>
    <row r="60" spans="3:20" x14ac:dyDescent="0.25">
      <c r="C60" t="str">
        <f>RTD("tos.rtd", , "VOLUME", ".SPXW240129C4500")</f>
        <v>N/A</v>
      </c>
      <c r="D60">
        <f>RTD("tos.rtd", , "OPEN_INT", ".SPXW240129C4500")</f>
        <v>0</v>
      </c>
      <c r="E60">
        <f>RTD("tos.rtd", , "DELTA", ".SPXW240129C4500")</f>
        <v>1</v>
      </c>
      <c r="F60">
        <f>RTD("tos.rtd", , "GAMMA", ".SPXW240129C4500")</f>
        <v>0</v>
      </c>
      <c r="G60">
        <f>RTD("tos.rtd", , "BID", ".SPXW240129C4500")</f>
        <v>419.3</v>
      </c>
      <c r="H60" t="str">
        <f>RTD("tos.rtd", , "BX", ".SPXW240129C4500")</f>
        <v>C</v>
      </c>
      <c r="I60">
        <f>RTD("tos.rtd", , "ASK", ".SPXW240129C4500")</f>
        <v>437.7</v>
      </c>
      <c r="J60" t="str">
        <f>RTD("tos.rtd", , "AX", ".SPXW240129C4500")</f>
        <v>C</v>
      </c>
      <c r="K60" t="str">
        <f>RTD("tos.rtd", , "EXPIRATION_DAY", ".SPXW240129C4500")</f>
        <v>2024-01-29</v>
      </c>
      <c r="L60">
        <f>RTD("tos.rtd", , "STRIKE", ".SPXW240129C4500")</f>
        <v>4500</v>
      </c>
      <c r="M60">
        <f>RTD("tos.rtd", , "BID", ".SPXW240129P4500")</f>
        <v>0</v>
      </c>
      <c r="N60" t="str">
        <f>RTD("tos.rtd", , "BX", ".SPXW240129P4500")</f>
        <v>C</v>
      </c>
      <c r="O60">
        <f>RTD("tos.rtd", , "ASK", ".SPXW240129P4500")</f>
        <v>0.05</v>
      </c>
      <c r="P60" t="str">
        <f>RTD("tos.rtd", , "AX", ".SPXW240129P4500")</f>
        <v>C</v>
      </c>
      <c r="Q60" t="str">
        <f>RTD("tos.rtd", , "VOLUME", ".SPXW240129P4500")</f>
        <v>N/A</v>
      </c>
      <c r="R60">
        <f>RTD("tos.rtd", , "OPEN_INT", ".SPXW240129P4500")</f>
        <v>2177</v>
      </c>
      <c r="S60">
        <f>RTD("tos.rtd", , "DELTA", ".SPXW240129P4500")</f>
        <v>0</v>
      </c>
      <c r="T60">
        <f>RTD("tos.rtd", , "GAMMA", ".SPXW240129P4500")</f>
        <v>0</v>
      </c>
    </row>
    <row r="61" spans="3:20" x14ac:dyDescent="0.25">
      <c r="C61" t="str">
        <f>RTD("tos.rtd", , "VOLUME", ".SPXW240129C4505")</f>
        <v>N/A</v>
      </c>
      <c r="D61">
        <f>RTD("tos.rtd", , "OPEN_INT", ".SPXW240129C4505")</f>
        <v>0</v>
      </c>
      <c r="E61">
        <f>RTD("tos.rtd", , "DELTA", ".SPXW240129C4505")</f>
        <v>1</v>
      </c>
      <c r="F61">
        <f>RTD("tos.rtd", , "GAMMA", ".SPXW240129C4505")</f>
        <v>0</v>
      </c>
      <c r="G61">
        <f>RTD("tos.rtd", , "BID", ".SPXW240129C4505")</f>
        <v>414.3</v>
      </c>
      <c r="H61" t="str">
        <f>RTD("tos.rtd", , "BX", ".SPXW240129C4505")</f>
        <v>C</v>
      </c>
      <c r="I61">
        <f>RTD("tos.rtd", , "ASK", ".SPXW240129C4505")</f>
        <v>432.7</v>
      </c>
      <c r="J61" t="str">
        <f>RTD("tos.rtd", , "AX", ".SPXW240129C4505")</f>
        <v>C</v>
      </c>
      <c r="K61" t="str">
        <f>RTD("tos.rtd", , "EXPIRATION_DAY", ".SPXW240129C4505")</f>
        <v>2024-01-29</v>
      </c>
      <c r="L61">
        <f>RTD("tos.rtd", , "STRIKE", ".SPXW240129C4505")</f>
        <v>4505</v>
      </c>
      <c r="M61">
        <f>RTD("tos.rtd", , "BID", ".SPXW240129P4505")</f>
        <v>0</v>
      </c>
      <c r="N61" t="str">
        <f>RTD("tos.rtd", , "BX", ".SPXW240129P4505")</f>
        <v>C</v>
      </c>
      <c r="O61">
        <f>RTD("tos.rtd", , "ASK", ".SPXW240129P4505")</f>
        <v>0.05</v>
      </c>
      <c r="P61" t="str">
        <f>RTD("tos.rtd", , "AX", ".SPXW240129P4505")</f>
        <v>C</v>
      </c>
      <c r="Q61" t="str">
        <f>RTD("tos.rtd", , "VOLUME", ".SPXW240129P4505")</f>
        <v>N/A</v>
      </c>
      <c r="R61">
        <f>RTD("tos.rtd", , "OPEN_INT", ".SPXW240129P4505")</f>
        <v>177</v>
      </c>
      <c r="S61">
        <f>RTD("tos.rtd", , "DELTA", ".SPXW240129P4505")</f>
        <v>0</v>
      </c>
      <c r="T61">
        <f>RTD("tos.rtd", , "GAMMA", ".SPXW240129P4505")</f>
        <v>0</v>
      </c>
    </row>
    <row r="62" spans="3:20" x14ac:dyDescent="0.25">
      <c r="C62" t="str">
        <f>RTD("tos.rtd", , "VOLUME", ".SPXW240129C4510")</f>
        <v>N/A</v>
      </c>
      <c r="D62">
        <f>RTD("tos.rtd", , "OPEN_INT", ".SPXW240129C4510")</f>
        <v>0</v>
      </c>
      <c r="E62">
        <f>RTD("tos.rtd", , "DELTA", ".SPXW240129C4510")</f>
        <v>1</v>
      </c>
      <c r="F62">
        <f>RTD("tos.rtd", , "GAMMA", ".SPXW240129C4510")</f>
        <v>0</v>
      </c>
      <c r="G62">
        <f>RTD("tos.rtd", , "BID", ".SPXW240129C4510")</f>
        <v>409.3</v>
      </c>
      <c r="H62" t="str">
        <f>RTD("tos.rtd", , "BX", ".SPXW240129C4510")</f>
        <v>C</v>
      </c>
      <c r="I62">
        <f>RTD("tos.rtd", , "ASK", ".SPXW240129C4510")</f>
        <v>427.7</v>
      </c>
      <c r="J62" t="str">
        <f>RTD("tos.rtd", , "AX", ".SPXW240129C4510")</f>
        <v>C</v>
      </c>
      <c r="K62" t="str">
        <f>RTD("tos.rtd", , "EXPIRATION_DAY", ".SPXW240129C4510")</f>
        <v>2024-01-29</v>
      </c>
      <c r="L62">
        <f>RTD("tos.rtd", , "STRIKE", ".SPXW240129C4510")</f>
        <v>4510</v>
      </c>
      <c r="M62">
        <f>RTD("tos.rtd", , "BID", ".SPXW240129P4510")</f>
        <v>0</v>
      </c>
      <c r="N62" t="str">
        <f>RTD("tos.rtd", , "BX", ".SPXW240129P4510")</f>
        <v>C</v>
      </c>
      <c r="O62">
        <f>RTD("tos.rtd", , "ASK", ".SPXW240129P4510")</f>
        <v>0.05</v>
      </c>
      <c r="P62" t="str">
        <f>RTD("tos.rtd", , "AX", ".SPXW240129P4510")</f>
        <v>C</v>
      </c>
      <c r="Q62" t="str">
        <f>RTD("tos.rtd", , "VOLUME", ".SPXW240129P4510")</f>
        <v>N/A</v>
      </c>
      <c r="R62">
        <f>RTD("tos.rtd", , "OPEN_INT", ".SPXW240129P4510")</f>
        <v>301</v>
      </c>
      <c r="S62">
        <f>RTD("tos.rtd", , "DELTA", ".SPXW240129P4510")</f>
        <v>0</v>
      </c>
      <c r="T62">
        <f>RTD("tos.rtd", , "GAMMA", ".SPXW240129P4510")</f>
        <v>0</v>
      </c>
    </row>
    <row r="63" spans="3:20" x14ac:dyDescent="0.25">
      <c r="C63" t="str">
        <f>RTD("tos.rtd", , "VOLUME", ".SPXW240129C4515")</f>
        <v>N/A</v>
      </c>
      <c r="D63">
        <f>RTD("tos.rtd", , "OPEN_INT", ".SPXW240129C4515")</f>
        <v>0</v>
      </c>
      <c r="E63">
        <f>RTD("tos.rtd", , "DELTA", ".SPXW240129C4515")</f>
        <v>1</v>
      </c>
      <c r="F63">
        <f>RTD("tos.rtd", , "GAMMA", ".SPXW240129C4515")</f>
        <v>0</v>
      </c>
      <c r="G63">
        <f>RTD("tos.rtd", , "BID", ".SPXW240129C4515")</f>
        <v>404.3</v>
      </c>
      <c r="H63" t="str">
        <f>RTD("tos.rtd", , "BX", ".SPXW240129C4515")</f>
        <v>C</v>
      </c>
      <c r="I63">
        <f>RTD("tos.rtd", , "ASK", ".SPXW240129C4515")</f>
        <v>422.7</v>
      </c>
      <c r="J63" t="str">
        <f>RTD("tos.rtd", , "AX", ".SPXW240129C4515")</f>
        <v>C</v>
      </c>
      <c r="K63" t="str">
        <f>RTD("tos.rtd", , "EXPIRATION_DAY", ".SPXW240129C4515")</f>
        <v>2024-01-29</v>
      </c>
      <c r="L63">
        <f>RTD("tos.rtd", , "STRIKE", ".SPXW240129C4515")</f>
        <v>4515</v>
      </c>
      <c r="M63">
        <f>RTD("tos.rtd", , "BID", ".SPXW240129P4515")</f>
        <v>0</v>
      </c>
      <c r="N63" t="str">
        <f>RTD("tos.rtd", , "BX", ".SPXW240129P4515")</f>
        <v>C</v>
      </c>
      <c r="O63">
        <f>RTD("tos.rtd", , "ASK", ".SPXW240129P4515")</f>
        <v>0.05</v>
      </c>
      <c r="P63" t="str">
        <f>RTD("tos.rtd", , "AX", ".SPXW240129P4515")</f>
        <v>C</v>
      </c>
      <c r="Q63" t="str">
        <f>RTD("tos.rtd", , "VOLUME", ".SPXW240129P4515")</f>
        <v>N/A</v>
      </c>
      <c r="R63">
        <f>RTD("tos.rtd", , "OPEN_INT", ".SPXW240129P4515")</f>
        <v>86</v>
      </c>
      <c r="S63">
        <f>RTD("tos.rtd", , "DELTA", ".SPXW240129P4515")</f>
        <v>0</v>
      </c>
      <c r="T63">
        <f>RTD("tos.rtd", , "GAMMA", ".SPXW240129P4515")</f>
        <v>0</v>
      </c>
    </row>
    <row r="64" spans="3:20" x14ac:dyDescent="0.25">
      <c r="C64" t="str">
        <f>RTD("tos.rtd", , "VOLUME", ".SPXW240129C4520")</f>
        <v>N/A</v>
      </c>
      <c r="D64">
        <f>RTD("tos.rtd", , "OPEN_INT", ".SPXW240129C4520")</f>
        <v>0</v>
      </c>
      <c r="E64">
        <f>RTD("tos.rtd", , "DELTA", ".SPXW240129C4520")</f>
        <v>1</v>
      </c>
      <c r="F64">
        <f>RTD("tos.rtd", , "GAMMA", ".SPXW240129C4520")</f>
        <v>0</v>
      </c>
      <c r="G64">
        <f>RTD("tos.rtd", , "BID", ".SPXW240129C4520")</f>
        <v>399.3</v>
      </c>
      <c r="H64" t="str">
        <f>RTD("tos.rtd", , "BX", ".SPXW240129C4520")</f>
        <v>C</v>
      </c>
      <c r="I64">
        <f>RTD("tos.rtd", , "ASK", ".SPXW240129C4520")</f>
        <v>417.7</v>
      </c>
      <c r="J64" t="str">
        <f>RTD("tos.rtd", , "AX", ".SPXW240129C4520")</f>
        <v>C</v>
      </c>
      <c r="K64" t="str">
        <f>RTD("tos.rtd", , "EXPIRATION_DAY", ".SPXW240129C4520")</f>
        <v>2024-01-29</v>
      </c>
      <c r="L64">
        <f>RTD("tos.rtd", , "STRIKE", ".SPXW240129C4520")</f>
        <v>4520</v>
      </c>
      <c r="M64">
        <f>RTD("tos.rtd", , "BID", ".SPXW240129P4520")</f>
        <v>0</v>
      </c>
      <c r="N64" t="str">
        <f>RTD("tos.rtd", , "BX", ".SPXW240129P4520")</f>
        <v>C</v>
      </c>
      <c r="O64">
        <f>RTD("tos.rtd", , "ASK", ".SPXW240129P4520")</f>
        <v>0.05</v>
      </c>
      <c r="P64" t="str">
        <f>RTD("tos.rtd", , "AX", ".SPXW240129P4520")</f>
        <v>C</v>
      </c>
      <c r="Q64" t="str">
        <f>RTD("tos.rtd", , "VOLUME", ".SPXW240129P4520")</f>
        <v>N/A</v>
      </c>
      <c r="R64">
        <f>RTD("tos.rtd", , "OPEN_INT", ".SPXW240129P4520")</f>
        <v>184</v>
      </c>
      <c r="S64">
        <f>RTD("tos.rtd", , "DELTA", ".SPXW240129P4520")</f>
        <v>0</v>
      </c>
      <c r="T64">
        <f>RTD("tos.rtd", , "GAMMA", ".SPXW240129P4520")</f>
        <v>0</v>
      </c>
    </row>
    <row r="65" spans="3:20" x14ac:dyDescent="0.25">
      <c r="C65" t="str">
        <f>RTD("tos.rtd", , "VOLUME", ".SPXW240129C4525")</f>
        <v>N/A</v>
      </c>
      <c r="D65">
        <f>RTD("tos.rtd", , "OPEN_INT", ".SPXW240129C4525")</f>
        <v>0</v>
      </c>
      <c r="E65">
        <f>RTD("tos.rtd", , "DELTA", ".SPXW240129C4525")</f>
        <v>1</v>
      </c>
      <c r="F65">
        <f>RTD("tos.rtd", , "GAMMA", ".SPXW240129C4525")</f>
        <v>0</v>
      </c>
      <c r="G65">
        <f>RTD("tos.rtd", , "BID", ".SPXW240129C4525")</f>
        <v>394.3</v>
      </c>
      <c r="H65" t="str">
        <f>RTD("tos.rtd", , "BX", ".SPXW240129C4525")</f>
        <v>C</v>
      </c>
      <c r="I65">
        <f>RTD("tos.rtd", , "ASK", ".SPXW240129C4525")</f>
        <v>412.7</v>
      </c>
      <c r="J65" t="str">
        <f>RTD("tos.rtd", , "AX", ".SPXW240129C4525")</f>
        <v>C</v>
      </c>
      <c r="K65" t="str">
        <f>RTD("tos.rtd", , "EXPIRATION_DAY", ".SPXW240129C4525")</f>
        <v>2024-01-29</v>
      </c>
      <c r="L65">
        <f>RTD("tos.rtd", , "STRIKE", ".SPXW240129C4525")</f>
        <v>4525</v>
      </c>
      <c r="M65">
        <f>RTD("tos.rtd", , "BID", ".SPXW240129P4525")</f>
        <v>0</v>
      </c>
      <c r="N65" t="str">
        <f>RTD("tos.rtd", , "BX", ".SPXW240129P4525")</f>
        <v>C</v>
      </c>
      <c r="O65">
        <f>RTD("tos.rtd", , "ASK", ".SPXW240129P4525")</f>
        <v>0.05</v>
      </c>
      <c r="P65" t="str">
        <f>RTD("tos.rtd", , "AX", ".SPXW240129P4525")</f>
        <v>C</v>
      </c>
      <c r="Q65" t="str">
        <f>RTD("tos.rtd", , "VOLUME", ".SPXW240129P4525")</f>
        <v>N/A</v>
      </c>
      <c r="R65">
        <f>RTD("tos.rtd", , "OPEN_INT", ".SPXW240129P4525")</f>
        <v>459</v>
      </c>
      <c r="S65">
        <f>RTD("tos.rtd", , "DELTA", ".SPXW240129P4525")</f>
        <v>0</v>
      </c>
      <c r="T65">
        <f>RTD("tos.rtd", , "GAMMA", ".SPXW240129P4525")</f>
        <v>0</v>
      </c>
    </row>
    <row r="66" spans="3:20" x14ac:dyDescent="0.25">
      <c r="C66" t="str">
        <f>RTD("tos.rtd", , "VOLUME", ".SPXW240129C4530")</f>
        <v>N/A</v>
      </c>
      <c r="D66">
        <f>RTD("tos.rtd", , "OPEN_INT", ".SPXW240129C4530")</f>
        <v>0</v>
      </c>
      <c r="E66">
        <f>RTD("tos.rtd", , "DELTA", ".SPXW240129C4530")</f>
        <v>1</v>
      </c>
      <c r="F66">
        <f>RTD("tos.rtd", , "GAMMA", ".SPXW240129C4530")</f>
        <v>0</v>
      </c>
      <c r="G66">
        <f>RTD("tos.rtd", , "BID", ".SPXW240129C4530")</f>
        <v>389.3</v>
      </c>
      <c r="H66" t="str">
        <f>RTD("tos.rtd", , "BX", ".SPXW240129C4530")</f>
        <v>C</v>
      </c>
      <c r="I66">
        <f>RTD("tos.rtd", , "ASK", ".SPXW240129C4530")</f>
        <v>407.7</v>
      </c>
      <c r="J66" t="str">
        <f>RTD("tos.rtd", , "AX", ".SPXW240129C4530")</f>
        <v>C</v>
      </c>
      <c r="K66" t="str">
        <f>RTD("tos.rtd", , "EXPIRATION_DAY", ".SPXW240129C4530")</f>
        <v>2024-01-29</v>
      </c>
      <c r="L66">
        <f>RTD("tos.rtd", , "STRIKE", ".SPXW240129C4530")</f>
        <v>4530</v>
      </c>
      <c r="M66">
        <f>RTD("tos.rtd", , "BID", ".SPXW240129P4530")</f>
        <v>0</v>
      </c>
      <c r="N66" t="str">
        <f>RTD("tos.rtd", , "BX", ".SPXW240129P4530")</f>
        <v>C</v>
      </c>
      <c r="O66">
        <f>RTD("tos.rtd", , "ASK", ".SPXW240129P4530")</f>
        <v>0.05</v>
      </c>
      <c r="P66" t="str">
        <f>RTD("tos.rtd", , "AX", ".SPXW240129P4530")</f>
        <v>C</v>
      </c>
      <c r="Q66" t="str">
        <f>RTD("tos.rtd", , "VOLUME", ".SPXW240129P4530")</f>
        <v>N/A</v>
      </c>
      <c r="R66">
        <f>RTD("tos.rtd", , "OPEN_INT", ".SPXW240129P4530")</f>
        <v>203</v>
      </c>
      <c r="S66">
        <f>RTD("tos.rtd", , "DELTA", ".SPXW240129P4530")</f>
        <v>0</v>
      </c>
      <c r="T66">
        <f>RTD("tos.rtd", , "GAMMA", ".SPXW240129P4530")</f>
        <v>0</v>
      </c>
    </row>
    <row r="67" spans="3:20" x14ac:dyDescent="0.25">
      <c r="C67" t="str">
        <f>RTD("tos.rtd", , "VOLUME", ".SPXW240129C4535")</f>
        <v>N/A</v>
      </c>
      <c r="D67">
        <f>RTD("tos.rtd", , "OPEN_INT", ".SPXW240129C4535")</f>
        <v>0</v>
      </c>
      <c r="E67">
        <f>RTD("tos.rtd", , "DELTA", ".SPXW240129C4535")</f>
        <v>1</v>
      </c>
      <c r="F67">
        <f>RTD("tos.rtd", , "GAMMA", ".SPXW240129C4535")</f>
        <v>0</v>
      </c>
      <c r="G67">
        <f>RTD("tos.rtd", , "BID", ".SPXW240129C4535")</f>
        <v>384.3</v>
      </c>
      <c r="H67" t="str">
        <f>RTD("tos.rtd", , "BX", ".SPXW240129C4535")</f>
        <v>C</v>
      </c>
      <c r="I67">
        <f>RTD("tos.rtd", , "ASK", ".SPXW240129C4535")</f>
        <v>402.7</v>
      </c>
      <c r="J67" t="str">
        <f>RTD("tos.rtd", , "AX", ".SPXW240129C4535")</f>
        <v>C</v>
      </c>
      <c r="K67" t="str">
        <f>RTD("tos.rtd", , "EXPIRATION_DAY", ".SPXW240129C4535")</f>
        <v>2024-01-29</v>
      </c>
      <c r="L67">
        <f>RTD("tos.rtd", , "STRIKE", ".SPXW240129C4535")</f>
        <v>4535</v>
      </c>
      <c r="M67">
        <f>RTD("tos.rtd", , "BID", ".SPXW240129P4535")</f>
        <v>0</v>
      </c>
      <c r="N67" t="str">
        <f>RTD("tos.rtd", , "BX", ".SPXW240129P4535")</f>
        <v>C</v>
      </c>
      <c r="O67">
        <f>RTD("tos.rtd", , "ASK", ".SPXW240129P4535")</f>
        <v>0.05</v>
      </c>
      <c r="P67" t="str">
        <f>RTD("tos.rtd", , "AX", ".SPXW240129P4535")</f>
        <v>C</v>
      </c>
      <c r="Q67" t="str">
        <f>RTD("tos.rtd", , "VOLUME", ".SPXW240129P4535")</f>
        <v>N/A</v>
      </c>
      <c r="R67">
        <f>RTD("tos.rtd", , "OPEN_INT", ".SPXW240129P4535")</f>
        <v>522</v>
      </c>
      <c r="S67">
        <f>RTD("tos.rtd", , "DELTA", ".SPXW240129P4535")</f>
        <v>0</v>
      </c>
      <c r="T67">
        <f>RTD("tos.rtd", , "GAMMA", ".SPXW240129P4535")</f>
        <v>0</v>
      </c>
    </row>
    <row r="68" spans="3:20" x14ac:dyDescent="0.25">
      <c r="C68" t="str">
        <f>RTD("tos.rtd", , "VOLUME", ".SPXW240129C4540")</f>
        <v>N/A</v>
      </c>
      <c r="D68">
        <f>RTD("tos.rtd", , "OPEN_INT", ".SPXW240129C4540")</f>
        <v>0</v>
      </c>
      <c r="E68">
        <f>RTD("tos.rtd", , "DELTA", ".SPXW240129C4540")</f>
        <v>1</v>
      </c>
      <c r="F68">
        <f>RTD("tos.rtd", , "GAMMA", ".SPXW240129C4540")</f>
        <v>0</v>
      </c>
      <c r="G68">
        <f>RTD("tos.rtd", , "BID", ".SPXW240129C4540")</f>
        <v>379.3</v>
      </c>
      <c r="H68" t="str">
        <f>RTD("tos.rtd", , "BX", ".SPXW240129C4540")</f>
        <v>C</v>
      </c>
      <c r="I68">
        <f>RTD("tos.rtd", , "ASK", ".SPXW240129C4540")</f>
        <v>397.7</v>
      </c>
      <c r="J68" t="str">
        <f>RTD("tos.rtd", , "AX", ".SPXW240129C4540")</f>
        <v>C</v>
      </c>
      <c r="K68" t="str">
        <f>RTD("tos.rtd", , "EXPIRATION_DAY", ".SPXW240129C4540")</f>
        <v>2024-01-29</v>
      </c>
      <c r="L68">
        <f>RTD("tos.rtd", , "STRIKE", ".SPXW240129C4540")</f>
        <v>4540</v>
      </c>
      <c r="M68">
        <f>RTD("tos.rtd", , "BID", ".SPXW240129P4540")</f>
        <v>0</v>
      </c>
      <c r="N68" t="str">
        <f>RTD("tos.rtd", , "BX", ".SPXW240129P4540")</f>
        <v>C</v>
      </c>
      <c r="O68">
        <f>RTD("tos.rtd", , "ASK", ".SPXW240129P4540")</f>
        <v>0.05</v>
      </c>
      <c r="P68" t="str">
        <f>RTD("tos.rtd", , "AX", ".SPXW240129P4540")</f>
        <v>C</v>
      </c>
      <c r="Q68" t="str">
        <f>RTD("tos.rtd", , "VOLUME", ".SPXW240129P4540")</f>
        <v>N/A</v>
      </c>
      <c r="R68">
        <f>RTD("tos.rtd", , "OPEN_INT", ".SPXW240129P4540")</f>
        <v>2219</v>
      </c>
      <c r="S68">
        <f>RTD("tos.rtd", , "DELTA", ".SPXW240129P4540")</f>
        <v>0</v>
      </c>
      <c r="T68">
        <f>RTD("tos.rtd", , "GAMMA", ".SPXW240129P4540")</f>
        <v>0</v>
      </c>
    </row>
    <row r="69" spans="3:20" x14ac:dyDescent="0.25">
      <c r="C69" t="str">
        <f>RTD("tos.rtd", , "VOLUME", ".SPXW240129C4545")</f>
        <v>N/A</v>
      </c>
      <c r="D69">
        <f>RTD("tos.rtd", , "OPEN_INT", ".SPXW240129C4545")</f>
        <v>0</v>
      </c>
      <c r="E69">
        <f>RTD("tos.rtd", , "DELTA", ".SPXW240129C4545")</f>
        <v>1</v>
      </c>
      <c r="F69">
        <f>RTD("tos.rtd", , "GAMMA", ".SPXW240129C4545")</f>
        <v>0</v>
      </c>
      <c r="G69">
        <f>RTD("tos.rtd", , "BID", ".SPXW240129C4545")</f>
        <v>374.3</v>
      </c>
      <c r="H69" t="str">
        <f>RTD("tos.rtd", , "BX", ".SPXW240129C4545")</f>
        <v>C</v>
      </c>
      <c r="I69">
        <f>RTD("tos.rtd", , "ASK", ".SPXW240129C4545")</f>
        <v>392.7</v>
      </c>
      <c r="J69" t="str">
        <f>RTD("tos.rtd", , "AX", ".SPXW240129C4545")</f>
        <v>C</v>
      </c>
      <c r="K69" t="str">
        <f>RTD("tos.rtd", , "EXPIRATION_DAY", ".SPXW240129C4545")</f>
        <v>2024-01-29</v>
      </c>
      <c r="L69">
        <f>RTD("tos.rtd", , "STRIKE", ".SPXW240129C4545")</f>
        <v>4545</v>
      </c>
      <c r="M69">
        <f>RTD("tos.rtd", , "BID", ".SPXW240129P4545")</f>
        <v>0</v>
      </c>
      <c r="N69" t="str">
        <f>RTD("tos.rtd", , "BX", ".SPXW240129P4545")</f>
        <v>C</v>
      </c>
      <c r="O69">
        <f>RTD("tos.rtd", , "ASK", ".SPXW240129P4545")</f>
        <v>0.05</v>
      </c>
      <c r="P69" t="str">
        <f>RTD("tos.rtd", , "AX", ".SPXW240129P4545")</f>
        <v>C</v>
      </c>
      <c r="Q69" t="str">
        <f>RTD("tos.rtd", , "VOLUME", ".SPXW240129P4545")</f>
        <v>N/A</v>
      </c>
      <c r="R69">
        <f>RTD("tos.rtd", , "OPEN_INT", ".SPXW240129P4545")</f>
        <v>57</v>
      </c>
      <c r="S69">
        <f>RTD("tos.rtd", , "DELTA", ".SPXW240129P4545")</f>
        <v>0</v>
      </c>
      <c r="T69">
        <f>RTD("tos.rtd", , "GAMMA", ".SPXW240129P4545")</f>
        <v>0</v>
      </c>
    </row>
    <row r="70" spans="3:20" x14ac:dyDescent="0.25">
      <c r="C70" t="str">
        <f>RTD("tos.rtd", , "VOLUME", ".SPXW240129C4550")</f>
        <v>N/A</v>
      </c>
      <c r="D70">
        <f>RTD("tos.rtd", , "OPEN_INT", ".SPXW240129C4550")</f>
        <v>0</v>
      </c>
      <c r="E70">
        <f>RTD("tos.rtd", , "DELTA", ".SPXW240129C4550")</f>
        <v>1</v>
      </c>
      <c r="F70">
        <f>RTD("tos.rtd", , "GAMMA", ".SPXW240129C4550")</f>
        <v>0</v>
      </c>
      <c r="G70">
        <f>RTD("tos.rtd", , "BID", ".SPXW240129C4550")</f>
        <v>369.3</v>
      </c>
      <c r="H70" t="str">
        <f>RTD("tos.rtd", , "BX", ".SPXW240129C4550")</f>
        <v>C</v>
      </c>
      <c r="I70">
        <f>RTD("tos.rtd", , "ASK", ".SPXW240129C4550")</f>
        <v>387.7</v>
      </c>
      <c r="J70" t="str">
        <f>RTD("tos.rtd", , "AX", ".SPXW240129C4550")</f>
        <v>C</v>
      </c>
      <c r="K70" t="str">
        <f>RTD("tos.rtd", , "EXPIRATION_DAY", ".SPXW240129C4550")</f>
        <v>2024-01-29</v>
      </c>
      <c r="L70">
        <f>RTD("tos.rtd", , "STRIKE", ".SPXW240129C4550")</f>
        <v>4550</v>
      </c>
      <c r="M70">
        <f>RTD("tos.rtd", , "BID", ".SPXW240129P4550")</f>
        <v>0</v>
      </c>
      <c r="N70" t="str">
        <f>RTD("tos.rtd", , "BX", ".SPXW240129P4550")</f>
        <v>C</v>
      </c>
      <c r="O70">
        <f>RTD("tos.rtd", , "ASK", ".SPXW240129P4550")</f>
        <v>0.05</v>
      </c>
      <c r="P70" t="str">
        <f>RTD("tos.rtd", , "AX", ".SPXW240129P4550")</f>
        <v>C</v>
      </c>
      <c r="Q70" t="str">
        <f>RTD("tos.rtd", , "VOLUME", ".SPXW240129P4550")</f>
        <v>N/A</v>
      </c>
      <c r="R70">
        <f>RTD("tos.rtd", , "OPEN_INT", ".SPXW240129P4550")</f>
        <v>1083</v>
      </c>
      <c r="S70">
        <f>RTD("tos.rtd", , "DELTA", ".SPXW240129P4550")</f>
        <v>0</v>
      </c>
      <c r="T70">
        <f>RTD("tos.rtd", , "GAMMA", ".SPXW240129P4550")</f>
        <v>0</v>
      </c>
    </row>
    <row r="71" spans="3:20" x14ac:dyDescent="0.25">
      <c r="C71" t="str">
        <f>RTD("tos.rtd", , "VOLUME", ".SPXW240129C4555")</f>
        <v>N/A</v>
      </c>
      <c r="D71">
        <f>RTD("tos.rtd", , "OPEN_INT", ".SPXW240129C4555")</f>
        <v>0</v>
      </c>
      <c r="E71">
        <f>RTD("tos.rtd", , "DELTA", ".SPXW240129C4555")</f>
        <v>1</v>
      </c>
      <c r="F71">
        <f>RTD("tos.rtd", , "GAMMA", ".SPXW240129C4555")</f>
        <v>0</v>
      </c>
      <c r="G71">
        <f>RTD("tos.rtd", , "BID", ".SPXW240129C4555")</f>
        <v>364.3</v>
      </c>
      <c r="H71" t="str">
        <f>RTD("tos.rtd", , "BX", ".SPXW240129C4555")</f>
        <v>C</v>
      </c>
      <c r="I71">
        <f>RTD("tos.rtd", , "ASK", ".SPXW240129C4555")</f>
        <v>382.7</v>
      </c>
      <c r="J71" t="str">
        <f>RTD("tos.rtd", , "AX", ".SPXW240129C4555")</f>
        <v>C</v>
      </c>
      <c r="K71" t="str">
        <f>RTD("tos.rtd", , "EXPIRATION_DAY", ".SPXW240129C4555")</f>
        <v>2024-01-29</v>
      </c>
      <c r="L71">
        <f>RTD("tos.rtd", , "STRIKE", ".SPXW240129C4555")</f>
        <v>4555</v>
      </c>
      <c r="M71">
        <f>RTD("tos.rtd", , "BID", ".SPXW240129P4555")</f>
        <v>0</v>
      </c>
      <c r="N71" t="str">
        <f>RTD("tos.rtd", , "BX", ".SPXW240129P4555")</f>
        <v>C</v>
      </c>
      <c r="O71">
        <f>RTD("tos.rtd", , "ASK", ".SPXW240129P4555")</f>
        <v>0.05</v>
      </c>
      <c r="P71" t="str">
        <f>RTD("tos.rtd", , "AX", ".SPXW240129P4555")</f>
        <v>C</v>
      </c>
      <c r="Q71" t="str">
        <f>RTD("tos.rtd", , "VOLUME", ".SPXW240129P4555")</f>
        <v>N/A</v>
      </c>
      <c r="R71">
        <f>RTD("tos.rtd", , "OPEN_INT", ".SPXW240129P4555")</f>
        <v>178</v>
      </c>
      <c r="S71">
        <f>RTD("tos.rtd", , "DELTA", ".SPXW240129P4555")</f>
        <v>0</v>
      </c>
      <c r="T71">
        <f>RTD("tos.rtd", , "GAMMA", ".SPXW240129P4555")</f>
        <v>0</v>
      </c>
    </row>
    <row r="72" spans="3:20" x14ac:dyDescent="0.25">
      <c r="C72" t="str">
        <f>RTD("tos.rtd", , "VOLUME", ".SPXW240129C4560")</f>
        <v>N/A</v>
      </c>
      <c r="D72">
        <f>RTD("tos.rtd", , "OPEN_INT", ".SPXW240129C4560")</f>
        <v>0</v>
      </c>
      <c r="E72">
        <f>RTD("tos.rtd", , "DELTA", ".SPXW240129C4560")</f>
        <v>1</v>
      </c>
      <c r="F72">
        <f>RTD("tos.rtd", , "GAMMA", ".SPXW240129C4560")</f>
        <v>0</v>
      </c>
      <c r="G72">
        <f>RTD("tos.rtd", , "BID", ".SPXW240129C4560")</f>
        <v>359.3</v>
      </c>
      <c r="H72" t="str">
        <f>RTD("tos.rtd", , "BX", ".SPXW240129C4560")</f>
        <v>C</v>
      </c>
      <c r="I72">
        <f>RTD("tos.rtd", , "ASK", ".SPXW240129C4560")</f>
        <v>377.7</v>
      </c>
      <c r="J72" t="str">
        <f>RTD("tos.rtd", , "AX", ".SPXW240129C4560")</f>
        <v>C</v>
      </c>
      <c r="K72" t="str">
        <f>RTD("tos.rtd", , "EXPIRATION_DAY", ".SPXW240129C4560")</f>
        <v>2024-01-29</v>
      </c>
      <c r="L72">
        <f>RTD("tos.rtd", , "STRIKE", ".SPXW240129C4560")</f>
        <v>4560</v>
      </c>
      <c r="M72">
        <f>RTD("tos.rtd", , "BID", ".SPXW240129P4560")</f>
        <v>0</v>
      </c>
      <c r="N72" t="str">
        <f>RTD("tos.rtd", , "BX", ".SPXW240129P4560")</f>
        <v>C</v>
      </c>
      <c r="O72">
        <f>RTD("tos.rtd", , "ASK", ".SPXW240129P4560")</f>
        <v>0.05</v>
      </c>
      <c r="P72" t="str">
        <f>RTD("tos.rtd", , "AX", ".SPXW240129P4560")</f>
        <v>C</v>
      </c>
      <c r="Q72" t="str">
        <f>RTD("tos.rtd", , "VOLUME", ".SPXW240129P4560")</f>
        <v>N/A</v>
      </c>
      <c r="R72">
        <f>RTD("tos.rtd", , "OPEN_INT", ".SPXW240129P4560")</f>
        <v>111</v>
      </c>
      <c r="S72">
        <f>RTD("tos.rtd", , "DELTA", ".SPXW240129P4560")</f>
        <v>0</v>
      </c>
      <c r="T72">
        <f>RTD("tos.rtd", , "GAMMA", ".SPXW240129P4560")</f>
        <v>0</v>
      </c>
    </row>
    <row r="73" spans="3:20" x14ac:dyDescent="0.25">
      <c r="C73" t="str">
        <f>RTD("tos.rtd", , "VOLUME", ".SPXW240129C4565")</f>
        <v>N/A</v>
      </c>
      <c r="D73">
        <f>RTD("tos.rtd", , "OPEN_INT", ".SPXW240129C4565")</f>
        <v>0</v>
      </c>
      <c r="E73">
        <f>RTD("tos.rtd", , "DELTA", ".SPXW240129C4565")</f>
        <v>1</v>
      </c>
      <c r="F73">
        <f>RTD("tos.rtd", , "GAMMA", ".SPXW240129C4565")</f>
        <v>0</v>
      </c>
      <c r="G73">
        <f>RTD("tos.rtd", , "BID", ".SPXW240129C4565")</f>
        <v>354.3</v>
      </c>
      <c r="H73" t="str">
        <f>RTD("tos.rtd", , "BX", ".SPXW240129C4565")</f>
        <v>C</v>
      </c>
      <c r="I73">
        <f>RTD("tos.rtd", , "ASK", ".SPXW240129C4565")</f>
        <v>372.7</v>
      </c>
      <c r="J73" t="str">
        <f>RTD("tos.rtd", , "AX", ".SPXW240129C4565")</f>
        <v>C</v>
      </c>
      <c r="K73" t="str">
        <f>RTD("tos.rtd", , "EXPIRATION_DAY", ".SPXW240129C4565")</f>
        <v>2024-01-29</v>
      </c>
      <c r="L73">
        <f>RTD("tos.rtd", , "STRIKE", ".SPXW240129C4565")</f>
        <v>4565</v>
      </c>
      <c r="M73">
        <f>RTD("tos.rtd", , "BID", ".SPXW240129P4565")</f>
        <v>0</v>
      </c>
      <c r="N73" t="str">
        <f>RTD("tos.rtd", , "BX", ".SPXW240129P4565")</f>
        <v>C</v>
      </c>
      <c r="O73">
        <f>RTD("tos.rtd", , "ASK", ".SPXW240129P4565")</f>
        <v>0.05</v>
      </c>
      <c r="P73" t="str">
        <f>RTD("tos.rtd", , "AX", ".SPXW240129P4565")</f>
        <v>C</v>
      </c>
      <c r="Q73" t="str">
        <f>RTD("tos.rtd", , "VOLUME", ".SPXW240129P4565")</f>
        <v>N/A</v>
      </c>
      <c r="R73">
        <f>RTD("tos.rtd", , "OPEN_INT", ".SPXW240129P4565")</f>
        <v>226</v>
      </c>
      <c r="S73">
        <f>RTD("tos.rtd", , "DELTA", ".SPXW240129P4565")</f>
        <v>0</v>
      </c>
      <c r="T73">
        <f>RTD("tos.rtd", , "GAMMA", ".SPXW240129P4565")</f>
        <v>0</v>
      </c>
    </row>
    <row r="74" spans="3:20" x14ac:dyDescent="0.25">
      <c r="C74" t="str">
        <f>RTD("tos.rtd", , "VOLUME", ".SPXW240129C4570")</f>
        <v>N/A</v>
      </c>
      <c r="D74">
        <f>RTD("tos.rtd", , "OPEN_INT", ".SPXW240129C4570")</f>
        <v>0</v>
      </c>
      <c r="E74">
        <f>RTD("tos.rtd", , "DELTA", ".SPXW240129C4570")</f>
        <v>1</v>
      </c>
      <c r="F74">
        <f>RTD("tos.rtd", , "GAMMA", ".SPXW240129C4570")</f>
        <v>0</v>
      </c>
      <c r="G74">
        <f>RTD("tos.rtd", , "BID", ".SPXW240129C4570")</f>
        <v>349.3</v>
      </c>
      <c r="H74" t="str">
        <f>RTD("tos.rtd", , "BX", ".SPXW240129C4570")</f>
        <v>C</v>
      </c>
      <c r="I74">
        <f>RTD("tos.rtd", , "ASK", ".SPXW240129C4570")</f>
        <v>367.7</v>
      </c>
      <c r="J74" t="str">
        <f>RTD("tos.rtd", , "AX", ".SPXW240129C4570")</f>
        <v>C</v>
      </c>
      <c r="K74" t="str">
        <f>RTD("tos.rtd", , "EXPIRATION_DAY", ".SPXW240129C4570")</f>
        <v>2024-01-29</v>
      </c>
      <c r="L74">
        <f>RTD("tos.rtd", , "STRIKE", ".SPXW240129C4570")</f>
        <v>4570</v>
      </c>
      <c r="M74">
        <f>RTD("tos.rtd", , "BID", ".SPXW240129P4570")</f>
        <v>0</v>
      </c>
      <c r="N74" t="str">
        <f>RTD("tos.rtd", , "BX", ".SPXW240129P4570")</f>
        <v>C</v>
      </c>
      <c r="O74">
        <f>RTD("tos.rtd", , "ASK", ".SPXW240129P4570")</f>
        <v>0.05</v>
      </c>
      <c r="P74" t="str">
        <f>RTD("tos.rtd", , "AX", ".SPXW240129P4570")</f>
        <v>C</v>
      </c>
      <c r="Q74" t="str">
        <f>RTD("tos.rtd", , "VOLUME", ".SPXW240129P4570")</f>
        <v>N/A</v>
      </c>
      <c r="R74">
        <f>RTD("tos.rtd", , "OPEN_INT", ".SPXW240129P4570")</f>
        <v>275</v>
      </c>
      <c r="S74">
        <f>RTD("tos.rtd", , "DELTA", ".SPXW240129P4570")</f>
        <v>0</v>
      </c>
      <c r="T74">
        <f>RTD("tos.rtd", , "GAMMA", ".SPXW240129P4570")</f>
        <v>0</v>
      </c>
    </row>
    <row r="75" spans="3:20" x14ac:dyDescent="0.25">
      <c r="C75" t="str">
        <f>RTD("tos.rtd", , "VOLUME", ".SPXW240129C4575")</f>
        <v>N/A</v>
      </c>
      <c r="D75">
        <f>RTD("tos.rtd", , "OPEN_INT", ".SPXW240129C4575")</f>
        <v>0</v>
      </c>
      <c r="E75">
        <f>RTD("tos.rtd", , "DELTA", ".SPXW240129C4575")</f>
        <v>1</v>
      </c>
      <c r="F75">
        <f>RTD("tos.rtd", , "GAMMA", ".SPXW240129C4575")</f>
        <v>0</v>
      </c>
      <c r="G75">
        <f>RTD("tos.rtd", , "BID", ".SPXW240129C4575")</f>
        <v>344.3</v>
      </c>
      <c r="H75" t="str">
        <f>RTD("tos.rtd", , "BX", ".SPXW240129C4575")</f>
        <v>C</v>
      </c>
      <c r="I75">
        <f>RTD("tos.rtd", , "ASK", ".SPXW240129C4575")</f>
        <v>362.7</v>
      </c>
      <c r="J75" t="str">
        <f>RTD("tos.rtd", , "AX", ".SPXW240129C4575")</f>
        <v>C</v>
      </c>
      <c r="K75" t="str">
        <f>RTD("tos.rtd", , "EXPIRATION_DAY", ".SPXW240129C4575")</f>
        <v>2024-01-29</v>
      </c>
      <c r="L75">
        <f>RTD("tos.rtd", , "STRIKE", ".SPXW240129C4575")</f>
        <v>4575</v>
      </c>
      <c r="M75">
        <f>RTD("tos.rtd", , "BID", ".SPXW240129P4575")</f>
        <v>0</v>
      </c>
      <c r="N75" t="str">
        <f>RTD("tos.rtd", , "BX", ".SPXW240129P4575")</f>
        <v>C</v>
      </c>
      <c r="O75">
        <f>RTD("tos.rtd", , "ASK", ".SPXW240129P4575")</f>
        <v>0.05</v>
      </c>
      <c r="P75" t="str">
        <f>RTD("tos.rtd", , "AX", ".SPXW240129P4575")</f>
        <v>C</v>
      </c>
      <c r="Q75" t="str">
        <f>RTD("tos.rtd", , "VOLUME", ".SPXW240129P4575")</f>
        <v>N/A</v>
      </c>
      <c r="R75">
        <f>RTD("tos.rtd", , "OPEN_INT", ".SPXW240129P4575")</f>
        <v>218</v>
      </c>
      <c r="S75">
        <f>RTD("tos.rtd", , "DELTA", ".SPXW240129P4575")</f>
        <v>0</v>
      </c>
      <c r="T75">
        <f>RTD("tos.rtd", , "GAMMA", ".SPXW240129P4575")</f>
        <v>0</v>
      </c>
    </row>
    <row r="76" spans="3:20" x14ac:dyDescent="0.25">
      <c r="C76" t="str">
        <f>RTD("tos.rtd", , "VOLUME", ".SPXW240129C4580")</f>
        <v>N/A</v>
      </c>
      <c r="D76">
        <f>RTD("tos.rtd", , "OPEN_INT", ".SPXW240129C4580")</f>
        <v>0</v>
      </c>
      <c r="E76">
        <f>RTD("tos.rtd", , "DELTA", ".SPXW240129C4580")</f>
        <v>1</v>
      </c>
      <c r="F76">
        <f>RTD("tos.rtd", , "GAMMA", ".SPXW240129C4580")</f>
        <v>0</v>
      </c>
      <c r="G76">
        <f>RTD("tos.rtd", , "BID", ".SPXW240129C4580")</f>
        <v>339.3</v>
      </c>
      <c r="H76" t="str">
        <f>RTD("tos.rtd", , "BX", ".SPXW240129C4580")</f>
        <v>C</v>
      </c>
      <c r="I76">
        <f>RTD("tos.rtd", , "ASK", ".SPXW240129C4580")</f>
        <v>357.7</v>
      </c>
      <c r="J76" t="str">
        <f>RTD("tos.rtd", , "AX", ".SPXW240129C4580")</f>
        <v>C</v>
      </c>
      <c r="K76" t="str">
        <f>RTD("tos.rtd", , "EXPIRATION_DAY", ".SPXW240129C4580")</f>
        <v>2024-01-29</v>
      </c>
      <c r="L76">
        <f>RTD("tos.rtd", , "STRIKE", ".SPXW240129C4580")</f>
        <v>4580</v>
      </c>
      <c r="M76">
        <f>RTD("tos.rtd", , "BID", ".SPXW240129P4580")</f>
        <v>0</v>
      </c>
      <c r="N76" t="str">
        <f>RTD("tos.rtd", , "BX", ".SPXW240129P4580")</f>
        <v>C</v>
      </c>
      <c r="O76">
        <f>RTD("tos.rtd", , "ASK", ".SPXW240129P4580")</f>
        <v>0.05</v>
      </c>
      <c r="P76" t="str">
        <f>RTD("tos.rtd", , "AX", ".SPXW240129P4580")</f>
        <v>C</v>
      </c>
      <c r="Q76" t="str">
        <f>RTD("tos.rtd", , "VOLUME", ".SPXW240129P4580")</f>
        <v>N/A</v>
      </c>
      <c r="R76">
        <f>RTD("tos.rtd", , "OPEN_INT", ".SPXW240129P4580")</f>
        <v>394</v>
      </c>
      <c r="S76">
        <f>RTD("tos.rtd", , "DELTA", ".SPXW240129P4580")</f>
        <v>0</v>
      </c>
      <c r="T76">
        <f>RTD("tos.rtd", , "GAMMA", ".SPXW240129P4580")</f>
        <v>0</v>
      </c>
    </row>
    <row r="77" spans="3:20" x14ac:dyDescent="0.25">
      <c r="C77" t="str">
        <f>RTD("tos.rtd", , "VOLUME", ".SPXW240129C4585")</f>
        <v>N/A</v>
      </c>
      <c r="D77">
        <f>RTD("tos.rtd", , "OPEN_INT", ".SPXW240129C4585")</f>
        <v>0</v>
      </c>
      <c r="E77">
        <f>RTD("tos.rtd", , "DELTA", ".SPXW240129C4585")</f>
        <v>1</v>
      </c>
      <c r="F77">
        <f>RTD("tos.rtd", , "GAMMA", ".SPXW240129C4585")</f>
        <v>0</v>
      </c>
      <c r="G77">
        <f>RTD("tos.rtd", , "BID", ".SPXW240129C4585")</f>
        <v>334.3</v>
      </c>
      <c r="H77" t="str">
        <f>RTD("tos.rtd", , "BX", ".SPXW240129C4585")</f>
        <v>C</v>
      </c>
      <c r="I77">
        <f>RTD("tos.rtd", , "ASK", ".SPXW240129C4585")</f>
        <v>352.7</v>
      </c>
      <c r="J77" t="str">
        <f>RTD("tos.rtd", , "AX", ".SPXW240129C4585")</f>
        <v>C</v>
      </c>
      <c r="K77" t="str">
        <f>RTD("tos.rtd", , "EXPIRATION_DAY", ".SPXW240129C4585")</f>
        <v>2024-01-29</v>
      </c>
      <c r="L77">
        <f>RTD("tos.rtd", , "STRIKE", ".SPXW240129C4585")</f>
        <v>4585</v>
      </c>
      <c r="M77">
        <f>RTD("tos.rtd", , "BID", ".SPXW240129P4585")</f>
        <v>0</v>
      </c>
      <c r="N77" t="str">
        <f>RTD("tos.rtd", , "BX", ".SPXW240129P4585")</f>
        <v>C</v>
      </c>
      <c r="O77">
        <f>RTD("tos.rtd", , "ASK", ".SPXW240129P4585")</f>
        <v>0.05</v>
      </c>
      <c r="P77" t="str">
        <f>RTD("tos.rtd", , "AX", ".SPXW240129P4585")</f>
        <v>C</v>
      </c>
      <c r="Q77" t="str">
        <f>RTD("tos.rtd", , "VOLUME", ".SPXW240129P4585")</f>
        <v>N/A</v>
      </c>
      <c r="R77">
        <f>RTD("tos.rtd", , "OPEN_INT", ".SPXW240129P4585")</f>
        <v>481</v>
      </c>
      <c r="S77">
        <f>RTD("tos.rtd", , "DELTA", ".SPXW240129P4585")</f>
        <v>0</v>
      </c>
      <c r="T77">
        <f>RTD("tos.rtd", , "GAMMA", ".SPXW240129P4585")</f>
        <v>0</v>
      </c>
    </row>
    <row r="78" spans="3:20" x14ac:dyDescent="0.25">
      <c r="C78" t="str">
        <f>RTD("tos.rtd", , "VOLUME", ".SPXW240129C4590")</f>
        <v>N/A</v>
      </c>
      <c r="D78">
        <f>RTD("tos.rtd", , "OPEN_INT", ".SPXW240129C4590")</f>
        <v>0</v>
      </c>
      <c r="E78">
        <f>RTD("tos.rtd", , "DELTA", ".SPXW240129C4590")</f>
        <v>1</v>
      </c>
      <c r="F78">
        <f>RTD("tos.rtd", , "GAMMA", ".SPXW240129C4590")</f>
        <v>0</v>
      </c>
      <c r="G78">
        <f>RTD("tos.rtd", , "BID", ".SPXW240129C4590")</f>
        <v>329.3</v>
      </c>
      <c r="H78" t="str">
        <f>RTD("tos.rtd", , "BX", ".SPXW240129C4590")</f>
        <v>C</v>
      </c>
      <c r="I78">
        <f>RTD("tos.rtd", , "ASK", ".SPXW240129C4590")</f>
        <v>347.7</v>
      </c>
      <c r="J78" t="str">
        <f>RTD("tos.rtd", , "AX", ".SPXW240129C4590")</f>
        <v>C</v>
      </c>
      <c r="K78" t="str">
        <f>RTD("tos.rtd", , "EXPIRATION_DAY", ".SPXW240129C4590")</f>
        <v>2024-01-29</v>
      </c>
      <c r="L78">
        <f>RTD("tos.rtd", , "STRIKE", ".SPXW240129C4590")</f>
        <v>4590</v>
      </c>
      <c r="M78">
        <f>RTD("tos.rtd", , "BID", ".SPXW240129P4590")</f>
        <v>0</v>
      </c>
      <c r="N78" t="str">
        <f>RTD("tos.rtd", , "BX", ".SPXW240129P4590")</f>
        <v>C</v>
      </c>
      <c r="O78">
        <f>RTD("tos.rtd", , "ASK", ".SPXW240129P4590")</f>
        <v>0.05</v>
      </c>
      <c r="P78" t="str">
        <f>RTD("tos.rtd", , "AX", ".SPXW240129P4590")</f>
        <v>C</v>
      </c>
      <c r="Q78" t="str">
        <f>RTD("tos.rtd", , "VOLUME", ".SPXW240129P4590")</f>
        <v>N/A</v>
      </c>
      <c r="R78">
        <f>RTD("tos.rtd", , "OPEN_INT", ".SPXW240129P4590")</f>
        <v>299</v>
      </c>
      <c r="S78">
        <f>RTD("tos.rtd", , "DELTA", ".SPXW240129P4590")</f>
        <v>0</v>
      </c>
      <c r="T78">
        <f>RTD("tos.rtd", , "GAMMA", ".SPXW240129P4590")</f>
        <v>0</v>
      </c>
    </row>
    <row r="79" spans="3:20" x14ac:dyDescent="0.25">
      <c r="C79" t="str">
        <f>RTD("tos.rtd", , "VOLUME", ".SPXW240129C4595")</f>
        <v>N/A</v>
      </c>
      <c r="D79">
        <f>RTD("tos.rtd", , "OPEN_INT", ".SPXW240129C4595")</f>
        <v>0</v>
      </c>
      <c r="E79">
        <f>RTD("tos.rtd", , "DELTA", ".SPXW240129C4595")</f>
        <v>1</v>
      </c>
      <c r="F79">
        <f>RTD("tos.rtd", , "GAMMA", ".SPXW240129C4595")</f>
        <v>0</v>
      </c>
      <c r="G79">
        <f>RTD("tos.rtd", , "BID", ".SPXW240129C4595")</f>
        <v>324.3</v>
      </c>
      <c r="H79" t="str">
        <f>RTD("tos.rtd", , "BX", ".SPXW240129C4595")</f>
        <v>C</v>
      </c>
      <c r="I79">
        <f>RTD("tos.rtd", , "ASK", ".SPXW240129C4595")</f>
        <v>342.7</v>
      </c>
      <c r="J79" t="str">
        <f>RTD("tos.rtd", , "AX", ".SPXW240129C4595")</f>
        <v>C</v>
      </c>
      <c r="K79" t="str">
        <f>RTD("tos.rtd", , "EXPIRATION_DAY", ".SPXW240129C4595")</f>
        <v>2024-01-29</v>
      </c>
      <c r="L79">
        <f>RTD("tos.rtd", , "STRIKE", ".SPXW240129C4595")</f>
        <v>4595</v>
      </c>
      <c r="M79">
        <f>RTD("tos.rtd", , "BID", ".SPXW240129P4595")</f>
        <v>0</v>
      </c>
      <c r="N79" t="str">
        <f>RTD("tos.rtd", , "BX", ".SPXW240129P4595")</f>
        <v>C</v>
      </c>
      <c r="O79">
        <f>RTD("tos.rtd", , "ASK", ".SPXW240129P4595")</f>
        <v>0.05</v>
      </c>
      <c r="P79" t="str">
        <f>RTD("tos.rtd", , "AX", ".SPXW240129P4595")</f>
        <v>C</v>
      </c>
      <c r="Q79" t="str">
        <f>RTD("tos.rtd", , "VOLUME", ".SPXW240129P4595")</f>
        <v>N/A</v>
      </c>
      <c r="R79">
        <f>RTD("tos.rtd", , "OPEN_INT", ".SPXW240129P4595")</f>
        <v>166</v>
      </c>
      <c r="S79">
        <f>RTD("tos.rtd", , "DELTA", ".SPXW240129P4595")</f>
        <v>0</v>
      </c>
      <c r="T79">
        <f>RTD("tos.rtd", , "GAMMA", ".SPXW240129P4595")</f>
        <v>0</v>
      </c>
    </row>
    <row r="80" spans="3:20" x14ac:dyDescent="0.25">
      <c r="C80" t="str">
        <f>RTD("tos.rtd", , "VOLUME", ".SPXW240129C4600")</f>
        <v>N/A</v>
      </c>
      <c r="D80">
        <f>RTD("tos.rtd", , "OPEN_INT", ".SPXW240129C4600")</f>
        <v>0</v>
      </c>
      <c r="E80">
        <f>RTD("tos.rtd", , "DELTA", ".SPXW240129C4600")</f>
        <v>1</v>
      </c>
      <c r="F80">
        <f>RTD("tos.rtd", , "GAMMA", ".SPXW240129C4600")</f>
        <v>0</v>
      </c>
      <c r="G80">
        <f>RTD("tos.rtd", , "BID", ".SPXW240129C4600")</f>
        <v>319.3</v>
      </c>
      <c r="H80" t="str">
        <f>RTD("tos.rtd", , "BX", ".SPXW240129C4600")</f>
        <v>C</v>
      </c>
      <c r="I80">
        <f>RTD("tos.rtd", , "ASK", ".SPXW240129C4600")</f>
        <v>337.7</v>
      </c>
      <c r="J80" t="str">
        <f>RTD("tos.rtd", , "AX", ".SPXW240129C4600")</f>
        <v>C</v>
      </c>
      <c r="K80" t="str">
        <f>RTD("tos.rtd", , "EXPIRATION_DAY", ".SPXW240129C4600")</f>
        <v>2024-01-29</v>
      </c>
      <c r="L80">
        <f>RTD("tos.rtd", , "STRIKE", ".SPXW240129C4600")</f>
        <v>4600</v>
      </c>
      <c r="M80">
        <f>RTD("tos.rtd", , "BID", ".SPXW240129P4600")</f>
        <v>0</v>
      </c>
      <c r="N80" t="str">
        <f>RTD("tos.rtd", , "BX", ".SPXW240129P4600")</f>
        <v>C</v>
      </c>
      <c r="O80">
        <f>RTD("tos.rtd", , "ASK", ".SPXW240129P4600")</f>
        <v>0.05</v>
      </c>
      <c r="P80" t="str">
        <f>RTD("tos.rtd", , "AX", ".SPXW240129P4600")</f>
        <v>C</v>
      </c>
      <c r="Q80" t="str">
        <f>RTD("tos.rtd", , "VOLUME", ".SPXW240129P4600")</f>
        <v>N/A</v>
      </c>
      <c r="R80">
        <f>RTD("tos.rtd", , "OPEN_INT", ".SPXW240129P4600")</f>
        <v>2281</v>
      </c>
      <c r="S80">
        <f>RTD("tos.rtd", , "DELTA", ".SPXW240129P4600")</f>
        <v>0</v>
      </c>
      <c r="T80">
        <f>RTD("tos.rtd", , "GAMMA", ".SPXW240129P4600")</f>
        <v>0</v>
      </c>
    </row>
    <row r="81" spans="3:20" x14ac:dyDescent="0.25">
      <c r="C81" t="str">
        <f>RTD("tos.rtd", , "VOLUME", ".SPXW240129C4605")</f>
        <v>N/A</v>
      </c>
      <c r="D81">
        <f>RTD("tos.rtd", , "OPEN_INT", ".SPXW240129C4605")</f>
        <v>0</v>
      </c>
      <c r="E81">
        <f>RTD("tos.rtd", , "DELTA", ".SPXW240129C4605")</f>
        <v>1</v>
      </c>
      <c r="F81">
        <f>RTD("tos.rtd", , "GAMMA", ".SPXW240129C4605")</f>
        <v>0</v>
      </c>
      <c r="G81">
        <f>RTD("tos.rtd", , "BID", ".SPXW240129C4605")</f>
        <v>314.3</v>
      </c>
      <c r="H81" t="str">
        <f>RTD("tos.rtd", , "BX", ".SPXW240129C4605")</f>
        <v>C</v>
      </c>
      <c r="I81">
        <f>RTD("tos.rtd", , "ASK", ".SPXW240129C4605")</f>
        <v>332.7</v>
      </c>
      <c r="J81" t="str">
        <f>RTD("tos.rtd", , "AX", ".SPXW240129C4605")</f>
        <v>C</v>
      </c>
      <c r="K81" t="str">
        <f>RTD("tos.rtd", , "EXPIRATION_DAY", ".SPXW240129C4605")</f>
        <v>2024-01-29</v>
      </c>
      <c r="L81">
        <f>RTD("tos.rtd", , "STRIKE", ".SPXW240129C4605")</f>
        <v>4605</v>
      </c>
      <c r="M81">
        <f>RTD("tos.rtd", , "BID", ".SPXW240129P4605")</f>
        <v>0</v>
      </c>
      <c r="N81" t="str">
        <f>RTD("tos.rtd", , "BX", ".SPXW240129P4605")</f>
        <v>C</v>
      </c>
      <c r="O81">
        <f>RTD("tos.rtd", , "ASK", ".SPXW240129P4605")</f>
        <v>0.05</v>
      </c>
      <c r="P81" t="str">
        <f>RTD("tos.rtd", , "AX", ".SPXW240129P4605")</f>
        <v>C</v>
      </c>
      <c r="Q81" t="str">
        <f>RTD("tos.rtd", , "VOLUME", ".SPXW240129P4605")</f>
        <v>N/A</v>
      </c>
      <c r="R81">
        <f>RTD("tos.rtd", , "OPEN_INT", ".SPXW240129P4605")</f>
        <v>323</v>
      </c>
      <c r="S81">
        <f>RTD("tos.rtd", , "DELTA", ".SPXW240129P4605")</f>
        <v>0</v>
      </c>
      <c r="T81">
        <f>RTD("tos.rtd", , "GAMMA", ".SPXW240129P4605")</f>
        <v>0</v>
      </c>
    </row>
    <row r="82" spans="3:20" x14ac:dyDescent="0.25">
      <c r="C82" t="str">
        <f>RTD("tos.rtd", , "VOLUME", ".SPXW240129C4610")</f>
        <v>N/A</v>
      </c>
      <c r="D82">
        <f>RTD("tos.rtd", , "OPEN_INT", ".SPXW240129C4610")</f>
        <v>0</v>
      </c>
      <c r="E82">
        <f>RTD("tos.rtd", , "DELTA", ".SPXW240129C4610")</f>
        <v>1</v>
      </c>
      <c r="F82">
        <f>RTD("tos.rtd", , "GAMMA", ".SPXW240129C4610")</f>
        <v>0</v>
      </c>
      <c r="G82">
        <f>RTD("tos.rtd", , "BID", ".SPXW240129C4610")</f>
        <v>309.3</v>
      </c>
      <c r="H82" t="str">
        <f>RTD("tos.rtd", , "BX", ".SPXW240129C4610")</f>
        <v>C</v>
      </c>
      <c r="I82">
        <f>RTD("tos.rtd", , "ASK", ".SPXW240129C4610")</f>
        <v>327.7</v>
      </c>
      <c r="J82" t="str">
        <f>RTD("tos.rtd", , "AX", ".SPXW240129C4610")</f>
        <v>C</v>
      </c>
      <c r="K82" t="str">
        <f>RTD("tos.rtd", , "EXPIRATION_DAY", ".SPXW240129C4610")</f>
        <v>2024-01-29</v>
      </c>
      <c r="L82">
        <f>RTD("tos.rtd", , "STRIKE", ".SPXW240129C4610")</f>
        <v>4610</v>
      </c>
      <c r="M82">
        <f>RTD("tos.rtd", , "BID", ".SPXW240129P4610")</f>
        <v>0</v>
      </c>
      <c r="N82" t="str">
        <f>RTD("tos.rtd", , "BX", ".SPXW240129P4610")</f>
        <v>C</v>
      </c>
      <c r="O82">
        <f>RTD("tos.rtd", , "ASK", ".SPXW240129P4610")</f>
        <v>0.05</v>
      </c>
      <c r="P82" t="str">
        <f>RTD("tos.rtd", , "AX", ".SPXW240129P4610")</f>
        <v>C</v>
      </c>
      <c r="Q82" t="str">
        <f>RTD("tos.rtd", , "VOLUME", ".SPXW240129P4610")</f>
        <v>N/A</v>
      </c>
      <c r="R82">
        <f>RTD("tos.rtd", , "OPEN_INT", ".SPXW240129P4610")</f>
        <v>379</v>
      </c>
      <c r="S82">
        <f>RTD("tos.rtd", , "DELTA", ".SPXW240129P4610")</f>
        <v>0</v>
      </c>
      <c r="T82">
        <f>RTD("tos.rtd", , "GAMMA", ".SPXW240129P4610")</f>
        <v>0</v>
      </c>
    </row>
    <row r="83" spans="3:20" x14ac:dyDescent="0.25">
      <c r="C83" t="str">
        <f>RTD("tos.rtd", , "VOLUME", ".SPXW240129C4615")</f>
        <v>N/A</v>
      </c>
      <c r="D83">
        <f>RTD("tos.rtd", , "OPEN_INT", ".SPXW240129C4615")</f>
        <v>0</v>
      </c>
      <c r="E83">
        <f>RTD("tos.rtd", , "DELTA", ".SPXW240129C4615")</f>
        <v>1</v>
      </c>
      <c r="F83">
        <f>RTD("tos.rtd", , "GAMMA", ".SPXW240129C4615")</f>
        <v>0</v>
      </c>
      <c r="G83">
        <f>RTD("tos.rtd", , "BID", ".SPXW240129C4615")</f>
        <v>304.3</v>
      </c>
      <c r="H83" t="str">
        <f>RTD("tos.rtd", , "BX", ".SPXW240129C4615")</f>
        <v>C</v>
      </c>
      <c r="I83">
        <f>RTD("tos.rtd", , "ASK", ".SPXW240129C4615")</f>
        <v>322.7</v>
      </c>
      <c r="J83" t="str">
        <f>RTD("tos.rtd", , "AX", ".SPXW240129C4615")</f>
        <v>C</v>
      </c>
      <c r="K83" t="str">
        <f>RTD("tos.rtd", , "EXPIRATION_DAY", ".SPXW240129C4615")</f>
        <v>2024-01-29</v>
      </c>
      <c r="L83">
        <f>RTD("tos.rtd", , "STRIKE", ".SPXW240129C4615")</f>
        <v>4615</v>
      </c>
      <c r="M83">
        <f>RTD("tos.rtd", , "BID", ".SPXW240129P4615")</f>
        <v>0</v>
      </c>
      <c r="N83" t="str">
        <f>RTD("tos.rtd", , "BX", ".SPXW240129P4615")</f>
        <v>C</v>
      </c>
      <c r="O83">
        <f>RTD("tos.rtd", , "ASK", ".SPXW240129P4615")</f>
        <v>0.05</v>
      </c>
      <c r="P83" t="str">
        <f>RTD("tos.rtd", , "AX", ".SPXW240129P4615")</f>
        <v>C</v>
      </c>
      <c r="Q83" t="str">
        <f>RTD("tos.rtd", , "VOLUME", ".SPXW240129P4615")</f>
        <v>N/A</v>
      </c>
      <c r="R83">
        <f>RTD("tos.rtd", , "OPEN_INT", ".SPXW240129P4615")</f>
        <v>262</v>
      </c>
      <c r="S83">
        <f>RTD("tos.rtd", , "DELTA", ".SPXW240129P4615")</f>
        <v>0</v>
      </c>
      <c r="T83">
        <f>RTD("tos.rtd", , "GAMMA", ".SPXW240129P4615")</f>
        <v>0</v>
      </c>
    </row>
    <row r="84" spans="3:20" x14ac:dyDescent="0.25">
      <c r="C84" t="str">
        <f>RTD("tos.rtd", , "VOLUME", ".SPXW240129C4620")</f>
        <v>N/A</v>
      </c>
      <c r="D84">
        <f>RTD("tos.rtd", , "OPEN_INT", ".SPXW240129C4620")</f>
        <v>0</v>
      </c>
      <c r="E84">
        <f>RTD("tos.rtd", , "DELTA", ".SPXW240129C4620")</f>
        <v>1</v>
      </c>
      <c r="F84">
        <f>RTD("tos.rtd", , "GAMMA", ".SPXW240129C4620")</f>
        <v>0</v>
      </c>
      <c r="G84">
        <f>RTD("tos.rtd", , "BID", ".SPXW240129C4620")</f>
        <v>299.3</v>
      </c>
      <c r="H84" t="str">
        <f>RTD("tos.rtd", , "BX", ".SPXW240129C4620")</f>
        <v>C</v>
      </c>
      <c r="I84">
        <f>RTD("tos.rtd", , "ASK", ".SPXW240129C4620")</f>
        <v>317.7</v>
      </c>
      <c r="J84" t="str">
        <f>RTD("tos.rtd", , "AX", ".SPXW240129C4620")</f>
        <v>C</v>
      </c>
      <c r="K84" t="str">
        <f>RTD("tos.rtd", , "EXPIRATION_DAY", ".SPXW240129C4620")</f>
        <v>2024-01-29</v>
      </c>
      <c r="L84">
        <f>RTD("tos.rtd", , "STRIKE", ".SPXW240129C4620")</f>
        <v>4620</v>
      </c>
      <c r="M84">
        <f>RTD("tos.rtd", , "BID", ".SPXW240129P4620")</f>
        <v>0</v>
      </c>
      <c r="N84" t="str">
        <f>RTD("tos.rtd", , "BX", ".SPXW240129P4620")</f>
        <v>C</v>
      </c>
      <c r="O84">
        <f>RTD("tos.rtd", , "ASK", ".SPXW240129P4620")</f>
        <v>0.05</v>
      </c>
      <c r="P84" t="str">
        <f>RTD("tos.rtd", , "AX", ".SPXW240129P4620")</f>
        <v>C</v>
      </c>
      <c r="Q84" t="str">
        <f>RTD("tos.rtd", , "VOLUME", ".SPXW240129P4620")</f>
        <v>N/A</v>
      </c>
      <c r="R84">
        <f>RTD("tos.rtd", , "OPEN_INT", ".SPXW240129P4620")</f>
        <v>251</v>
      </c>
      <c r="S84">
        <f>RTD("tos.rtd", , "DELTA", ".SPXW240129P4620")</f>
        <v>0</v>
      </c>
      <c r="T84">
        <f>RTD("tos.rtd", , "GAMMA", ".SPXW240129P4620")</f>
        <v>0</v>
      </c>
    </row>
    <row r="85" spans="3:20" x14ac:dyDescent="0.25">
      <c r="C85" t="str">
        <f>RTD("tos.rtd", , "VOLUME", ".SPXW240129C4625")</f>
        <v>N/A</v>
      </c>
      <c r="D85">
        <f>RTD("tos.rtd", , "OPEN_INT", ".SPXW240129C4625")</f>
        <v>0</v>
      </c>
      <c r="E85">
        <f>RTD("tos.rtd", , "DELTA", ".SPXW240129C4625")</f>
        <v>1</v>
      </c>
      <c r="F85">
        <f>RTD("tos.rtd", , "GAMMA", ".SPXW240129C4625")</f>
        <v>0</v>
      </c>
      <c r="G85">
        <f>RTD("tos.rtd", , "BID", ".SPXW240129C4625")</f>
        <v>294.3</v>
      </c>
      <c r="H85" t="str">
        <f>RTD("tos.rtd", , "BX", ".SPXW240129C4625")</f>
        <v>C</v>
      </c>
      <c r="I85">
        <f>RTD("tos.rtd", , "ASK", ".SPXW240129C4625")</f>
        <v>312.7</v>
      </c>
      <c r="J85" t="str">
        <f>RTD("tos.rtd", , "AX", ".SPXW240129C4625")</f>
        <v>C</v>
      </c>
      <c r="K85" t="str">
        <f>RTD("tos.rtd", , "EXPIRATION_DAY", ".SPXW240129C4625")</f>
        <v>2024-01-29</v>
      </c>
      <c r="L85">
        <f>RTD("tos.rtd", , "STRIKE", ".SPXW240129C4625")</f>
        <v>4625</v>
      </c>
      <c r="M85">
        <f>RTD("tos.rtd", , "BID", ".SPXW240129P4625")</f>
        <v>0</v>
      </c>
      <c r="N85" t="str">
        <f>RTD("tos.rtd", , "BX", ".SPXW240129P4625")</f>
        <v>C</v>
      </c>
      <c r="O85">
        <f>RTD("tos.rtd", , "ASK", ".SPXW240129P4625")</f>
        <v>0.05</v>
      </c>
      <c r="P85" t="str">
        <f>RTD("tos.rtd", , "AX", ".SPXW240129P4625")</f>
        <v>C</v>
      </c>
      <c r="Q85" t="str">
        <f>RTD("tos.rtd", , "VOLUME", ".SPXW240129P4625")</f>
        <v>N/A</v>
      </c>
      <c r="R85">
        <f>RTD("tos.rtd", , "OPEN_INT", ".SPXW240129P4625")</f>
        <v>2056</v>
      </c>
      <c r="S85">
        <f>RTD("tos.rtd", , "DELTA", ".SPXW240129P4625")</f>
        <v>0</v>
      </c>
      <c r="T85">
        <f>RTD("tos.rtd", , "GAMMA", ".SPXW240129P4625")</f>
        <v>0</v>
      </c>
    </row>
    <row r="86" spans="3:20" x14ac:dyDescent="0.25">
      <c r="C86" t="str">
        <f>RTD("tos.rtd", , "VOLUME", ".SPXW240129C4630")</f>
        <v>N/A</v>
      </c>
      <c r="D86">
        <f>RTD("tos.rtd", , "OPEN_INT", ".SPXW240129C4630")</f>
        <v>0</v>
      </c>
      <c r="E86">
        <f>RTD("tos.rtd", , "DELTA", ".SPXW240129C4630")</f>
        <v>1</v>
      </c>
      <c r="F86">
        <f>RTD("tos.rtd", , "GAMMA", ".SPXW240129C4630")</f>
        <v>0</v>
      </c>
      <c r="G86">
        <f>RTD("tos.rtd", , "BID", ".SPXW240129C4630")</f>
        <v>289.3</v>
      </c>
      <c r="H86" t="str">
        <f>RTD("tos.rtd", , "BX", ".SPXW240129C4630")</f>
        <v>C</v>
      </c>
      <c r="I86">
        <f>RTD("tos.rtd", , "ASK", ".SPXW240129C4630")</f>
        <v>307.7</v>
      </c>
      <c r="J86" t="str">
        <f>RTD("tos.rtd", , "AX", ".SPXW240129C4630")</f>
        <v>C</v>
      </c>
      <c r="K86" t="str">
        <f>RTD("tos.rtd", , "EXPIRATION_DAY", ".SPXW240129C4630")</f>
        <v>2024-01-29</v>
      </c>
      <c r="L86">
        <f>RTD("tos.rtd", , "STRIKE", ".SPXW240129C4630")</f>
        <v>4630</v>
      </c>
      <c r="M86">
        <f>RTD("tos.rtd", , "BID", ".SPXW240129P4630")</f>
        <v>0</v>
      </c>
      <c r="N86" t="str">
        <f>RTD("tos.rtd", , "BX", ".SPXW240129P4630")</f>
        <v>C</v>
      </c>
      <c r="O86">
        <f>RTD("tos.rtd", , "ASK", ".SPXW240129P4630")</f>
        <v>0.05</v>
      </c>
      <c r="P86" t="str">
        <f>RTD("tos.rtd", , "AX", ".SPXW240129P4630")</f>
        <v>C</v>
      </c>
      <c r="Q86" t="str">
        <f>RTD("tos.rtd", , "VOLUME", ".SPXW240129P4630")</f>
        <v>N/A</v>
      </c>
      <c r="R86">
        <f>RTD("tos.rtd", , "OPEN_INT", ".SPXW240129P4630")</f>
        <v>1481</v>
      </c>
      <c r="S86">
        <f>RTD("tos.rtd", , "DELTA", ".SPXW240129P4630")</f>
        <v>0</v>
      </c>
      <c r="T86">
        <f>RTD("tos.rtd", , "GAMMA", ".SPXW240129P4630")</f>
        <v>0</v>
      </c>
    </row>
    <row r="87" spans="3:20" x14ac:dyDescent="0.25">
      <c r="C87" t="str">
        <f>RTD("tos.rtd", , "VOLUME", ".SPXW240129C4635")</f>
        <v>N/A</v>
      </c>
      <c r="D87">
        <f>RTD("tos.rtd", , "OPEN_INT", ".SPXW240129C4635")</f>
        <v>0</v>
      </c>
      <c r="E87">
        <f>RTD("tos.rtd", , "DELTA", ".SPXW240129C4635")</f>
        <v>1</v>
      </c>
      <c r="F87">
        <f>RTD("tos.rtd", , "GAMMA", ".SPXW240129C4635")</f>
        <v>0</v>
      </c>
      <c r="G87">
        <f>RTD("tos.rtd", , "BID", ".SPXW240129C4635")</f>
        <v>284.3</v>
      </c>
      <c r="H87" t="str">
        <f>RTD("tos.rtd", , "BX", ".SPXW240129C4635")</f>
        <v>C</v>
      </c>
      <c r="I87">
        <f>RTD("tos.rtd", , "ASK", ".SPXW240129C4635")</f>
        <v>302.7</v>
      </c>
      <c r="J87" t="str">
        <f>RTD("tos.rtd", , "AX", ".SPXW240129C4635")</f>
        <v>C</v>
      </c>
      <c r="K87" t="str">
        <f>RTD("tos.rtd", , "EXPIRATION_DAY", ".SPXW240129C4635")</f>
        <v>2024-01-29</v>
      </c>
      <c r="L87">
        <f>RTD("tos.rtd", , "STRIKE", ".SPXW240129C4635")</f>
        <v>4635</v>
      </c>
      <c r="M87">
        <f>RTD("tos.rtd", , "BID", ".SPXW240129P4635")</f>
        <v>0</v>
      </c>
      <c r="N87" t="str">
        <f>RTD("tos.rtd", , "BX", ".SPXW240129P4635")</f>
        <v>C</v>
      </c>
      <c r="O87">
        <f>RTD("tos.rtd", , "ASK", ".SPXW240129P4635")</f>
        <v>0.05</v>
      </c>
      <c r="P87" t="str">
        <f>RTD("tos.rtd", , "AX", ".SPXW240129P4635")</f>
        <v>C</v>
      </c>
      <c r="Q87" t="str">
        <f>RTD("tos.rtd", , "VOLUME", ".SPXW240129P4635")</f>
        <v>N/A</v>
      </c>
      <c r="R87">
        <f>RTD("tos.rtd", , "OPEN_INT", ".SPXW240129P4635")</f>
        <v>1392</v>
      </c>
      <c r="S87">
        <f>RTD("tos.rtd", , "DELTA", ".SPXW240129P4635")</f>
        <v>0</v>
      </c>
      <c r="T87">
        <f>RTD("tos.rtd", , "GAMMA", ".SPXW240129P4635")</f>
        <v>0</v>
      </c>
    </row>
    <row r="88" spans="3:20" x14ac:dyDescent="0.25">
      <c r="C88" t="str">
        <f>RTD("tos.rtd", , "VOLUME", ".SPXW240129C4640")</f>
        <v>N/A</v>
      </c>
      <c r="D88">
        <f>RTD("tos.rtd", , "OPEN_INT", ".SPXW240129C4640")</f>
        <v>0</v>
      </c>
      <c r="E88">
        <f>RTD("tos.rtd", , "DELTA", ".SPXW240129C4640")</f>
        <v>1</v>
      </c>
      <c r="F88">
        <f>RTD("tos.rtd", , "GAMMA", ".SPXW240129C4640")</f>
        <v>0</v>
      </c>
      <c r="G88">
        <f>RTD("tos.rtd", , "BID", ".SPXW240129C4640")</f>
        <v>279.3</v>
      </c>
      <c r="H88" t="str">
        <f>RTD("tos.rtd", , "BX", ".SPXW240129C4640")</f>
        <v>C</v>
      </c>
      <c r="I88">
        <f>RTD("tos.rtd", , "ASK", ".SPXW240129C4640")</f>
        <v>297.7</v>
      </c>
      <c r="J88" t="str">
        <f>RTD("tos.rtd", , "AX", ".SPXW240129C4640")</f>
        <v>C</v>
      </c>
      <c r="K88" t="str">
        <f>RTD("tos.rtd", , "EXPIRATION_DAY", ".SPXW240129C4640")</f>
        <v>2024-01-29</v>
      </c>
      <c r="L88">
        <f>RTD("tos.rtd", , "STRIKE", ".SPXW240129C4640")</f>
        <v>4640</v>
      </c>
      <c r="M88">
        <f>RTD("tos.rtd", , "BID", ".SPXW240129P4640")</f>
        <v>0</v>
      </c>
      <c r="N88" t="str">
        <f>RTD("tos.rtd", , "BX", ".SPXW240129P4640")</f>
        <v>C</v>
      </c>
      <c r="O88">
        <f>RTD("tos.rtd", , "ASK", ".SPXW240129P4640")</f>
        <v>0.05</v>
      </c>
      <c r="P88" t="str">
        <f>RTD("tos.rtd", , "AX", ".SPXW240129P4640")</f>
        <v>C</v>
      </c>
      <c r="Q88" t="str">
        <f>RTD("tos.rtd", , "VOLUME", ".SPXW240129P4640")</f>
        <v>N/A</v>
      </c>
      <c r="R88">
        <f>RTD("tos.rtd", , "OPEN_INT", ".SPXW240129P4640")</f>
        <v>430</v>
      </c>
      <c r="S88">
        <f>RTD("tos.rtd", , "DELTA", ".SPXW240129P4640")</f>
        <v>0</v>
      </c>
      <c r="T88">
        <f>RTD("tos.rtd", , "GAMMA", ".SPXW240129P4640")</f>
        <v>0</v>
      </c>
    </row>
    <row r="89" spans="3:20" x14ac:dyDescent="0.25">
      <c r="C89" t="str">
        <f>RTD("tos.rtd", , "VOLUME", ".SPXW240129C4645")</f>
        <v>N/A</v>
      </c>
      <c r="D89">
        <f>RTD("tos.rtd", , "OPEN_INT", ".SPXW240129C4645")</f>
        <v>0</v>
      </c>
      <c r="E89">
        <f>RTD("tos.rtd", , "DELTA", ".SPXW240129C4645")</f>
        <v>1</v>
      </c>
      <c r="F89">
        <f>RTD("tos.rtd", , "GAMMA", ".SPXW240129C4645")</f>
        <v>0</v>
      </c>
      <c r="G89">
        <f>RTD("tos.rtd", , "BID", ".SPXW240129C4645")</f>
        <v>274.3</v>
      </c>
      <c r="H89" t="str">
        <f>RTD("tos.rtd", , "BX", ".SPXW240129C4645")</f>
        <v>C</v>
      </c>
      <c r="I89">
        <f>RTD("tos.rtd", , "ASK", ".SPXW240129C4645")</f>
        <v>292.7</v>
      </c>
      <c r="J89" t="str">
        <f>RTD("tos.rtd", , "AX", ".SPXW240129C4645")</f>
        <v>C</v>
      </c>
      <c r="K89" t="str">
        <f>RTD("tos.rtd", , "EXPIRATION_DAY", ".SPXW240129C4645")</f>
        <v>2024-01-29</v>
      </c>
      <c r="L89">
        <f>RTD("tos.rtd", , "STRIKE", ".SPXW240129C4645")</f>
        <v>4645</v>
      </c>
      <c r="M89">
        <f>RTD("tos.rtd", , "BID", ".SPXW240129P4645")</f>
        <v>0</v>
      </c>
      <c r="N89" t="str">
        <f>RTD("tos.rtd", , "BX", ".SPXW240129P4645")</f>
        <v>C</v>
      </c>
      <c r="O89">
        <f>RTD("tos.rtd", , "ASK", ".SPXW240129P4645")</f>
        <v>0.05</v>
      </c>
      <c r="P89" t="str">
        <f>RTD("tos.rtd", , "AX", ".SPXW240129P4645")</f>
        <v>C</v>
      </c>
      <c r="Q89" t="str">
        <f>RTD("tos.rtd", , "VOLUME", ".SPXW240129P4645")</f>
        <v>N/A</v>
      </c>
      <c r="R89">
        <f>RTD("tos.rtd", , "OPEN_INT", ".SPXW240129P4645")</f>
        <v>716</v>
      </c>
      <c r="S89">
        <f>RTD("tos.rtd", , "DELTA", ".SPXW240129P4645")</f>
        <v>0</v>
      </c>
      <c r="T89">
        <f>RTD("tos.rtd", , "GAMMA", ".SPXW240129P4645")</f>
        <v>0</v>
      </c>
    </row>
    <row r="90" spans="3:20" x14ac:dyDescent="0.25">
      <c r="C90" t="str">
        <f>RTD("tos.rtd", , "VOLUME", ".SPXW240129C4650")</f>
        <v>N/A</v>
      </c>
      <c r="D90">
        <f>RTD("tos.rtd", , "OPEN_INT", ".SPXW240129C4650")</f>
        <v>0</v>
      </c>
      <c r="E90">
        <f>RTD("tos.rtd", , "DELTA", ".SPXW240129C4650")</f>
        <v>1</v>
      </c>
      <c r="F90">
        <f>RTD("tos.rtd", , "GAMMA", ".SPXW240129C4650")</f>
        <v>0</v>
      </c>
      <c r="G90">
        <f>RTD("tos.rtd", , "BID", ".SPXW240129C4650")</f>
        <v>269.3</v>
      </c>
      <c r="H90" t="str">
        <f>RTD("tos.rtd", , "BX", ".SPXW240129C4650")</f>
        <v>C</v>
      </c>
      <c r="I90">
        <f>RTD("tos.rtd", , "ASK", ".SPXW240129C4650")</f>
        <v>287.7</v>
      </c>
      <c r="J90" t="str">
        <f>RTD("tos.rtd", , "AX", ".SPXW240129C4650")</f>
        <v>C</v>
      </c>
      <c r="K90" t="str">
        <f>RTD("tos.rtd", , "EXPIRATION_DAY", ".SPXW240129C4650")</f>
        <v>2024-01-29</v>
      </c>
      <c r="L90">
        <f>RTD("tos.rtd", , "STRIKE", ".SPXW240129C4650")</f>
        <v>4650</v>
      </c>
      <c r="M90">
        <f>RTD("tos.rtd", , "BID", ".SPXW240129P4650")</f>
        <v>0</v>
      </c>
      <c r="N90" t="str">
        <f>RTD("tos.rtd", , "BX", ".SPXW240129P4650")</f>
        <v>C</v>
      </c>
      <c r="O90">
        <f>RTD("tos.rtd", , "ASK", ".SPXW240129P4650")</f>
        <v>0.05</v>
      </c>
      <c r="P90" t="str">
        <f>RTD("tos.rtd", , "AX", ".SPXW240129P4650")</f>
        <v>C</v>
      </c>
      <c r="Q90" t="str">
        <f>RTD("tos.rtd", , "VOLUME", ".SPXW240129P4650")</f>
        <v>N/A</v>
      </c>
      <c r="R90">
        <f>RTD("tos.rtd", , "OPEN_INT", ".SPXW240129P4650")</f>
        <v>1239</v>
      </c>
      <c r="S90">
        <f>RTD("tos.rtd", , "DELTA", ".SPXW240129P4650")</f>
        <v>0</v>
      </c>
      <c r="T90">
        <f>RTD("tos.rtd", , "GAMMA", ".SPXW240129P4650")</f>
        <v>0</v>
      </c>
    </row>
    <row r="91" spans="3:20" x14ac:dyDescent="0.25">
      <c r="C91" t="str">
        <f>RTD("tos.rtd", , "VOLUME", ".SPXW240129C4655")</f>
        <v>N/A</v>
      </c>
      <c r="D91">
        <f>RTD("tos.rtd", , "OPEN_INT", ".SPXW240129C4655")</f>
        <v>0</v>
      </c>
      <c r="E91">
        <f>RTD("tos.rtd", , "DELTA", ".SPXW240129C4655")</f>
        <v>1</v>
      </c>
      <c r="F91">
        <f>RTD("tos.rtd", , "GAMMA", ".SPXW240129C4655")</f>
        <v>0</v>
      </c>
      <c r="G91">
        <f>RTD("tos.rtd", , "BID", ".SPXW240129C4655")</f>
        <v>264.3</v>
      </c>
      <c r="H91" t="str">
        <f>RTD("tos.rtd", , "BX", ".SPXW240129C4655")</f>
        <v>C</v>
      </c>
      <c r="I91">
        <f>RTD("tos.rtd", , "ASK", ".SPXW240129C4655")</f>
        <v>282.7</v>
      </c>
      <c r="J91" t="str">
        <f>RTD("tos.rtd", , "AX", ".SPXW240129C4655")</f>
        <v>C</v>
      </c>
      <c r="K91" t="str">
        <f>RTD("tos.rtd", , "EXPIRATION_DAY", ".SPXW240129C4655")</f>
        <v>2024-01-29</v>
      </c>
      <c r="L91">
        <f>RTD("tos.rtd", , "STRIKE", ".SPXW240129C4655")</f>
        <v>4655</v>
      </c>
      <c r="M91">
        <f>RTD("tos.rtd", , "BID", ".SPXW240129P4655")</f>
        <v>0</v>
      </c>
      <c r="N91" t="str">
        <f>RTD("tos.rtd", , "BX", ".SPXW240129P4655")</f>
        <v>C</v>
      </c>
      <c r="O91">
        <f>RTD("tos.rtd", , "ASK", ".SPXW240129P4655")</f>
        <v>0.05</v>
      </c>
      <c r="P91" t="str">
        <f>RTD("tos.rtd", , "AX", ".SPXW240129P4655")</f>
        <v>C</v>
      </c>
      <c r="Q91" t="str">
        <f>RTD("tos.rtd", , "VOLUME", ".SPXW240129P4655")</f>
        <v>N/A</v>
      </c>
      <c r="R91">
        <f>RTD("tos.rtd", , "OPEN_INT", ".SPXW240129P4655")</f>
        <v>588</v>
      </c>
      <c r="S91">
        <f>RTD("tos.rtd", , "DELTA", ".SPXW240129P4655")</f>
        <v>0</v>
      </c>
      <c r="T91">
        <f>RTD("tos.rtd", , "GAMMA", ".SPXW240129P4655")</f>
        <v>0</v>
      </c>
    </row>
    <row r="92" spans="3:20" x14ac:dyDescent="0.25">
      <c r="C92" t="str">
        <f>RTD("tos.rtd", , "VOLUME", ".SPXW240129C4660")</f>
        <v>N/A</v>
      </c>
      <c r="D92">
        <f>RTD("tos.rtd", , "OPEN_INT", ".SPXW240129C4660")</f>
        <v>0</v>
      </c>
      <c r="E92">
        <f>RTD("tos.rtd", , "DELTA", ".SPXW240129C4660")</f>
        <v>1</v>
      </c>
      <c r="F92">
        <f>RTD("tos.rtd", , "GAMMA", ".SPXW240129C4660")</f>
        <v>0</v>
      </c>
      <c r="G92">
        <f>RTD("tos.rtd", , "BID", ".SPXW240129C4660")</f>
        <v>259.3</v>
      </c>
      <c r="H92" t="str">
        <f>RTD("tos.rtd", , "BX", ".SPXW240129C4660")</f>
        <v>C</v>
      </c>
      <c r="I92">
        <f>RTD("tos.rtd", , "ASK", ".SPXW240129C4660")</f>
        <v>277.7</v>
      </c>
      <c r="J92" t="str">
        <f>RTD("tos.rtd", , "AX", ".SPXW240129C4660")</f>
        <v>C</v>
      </c>
      <c r="K92" t="str">
        <f>RTD("tos.rtd", , "EXPIRATION_DAY", ".SPXW240129C4660")</f>
        <v>2024-01-29</v>
      </c>
      <c r="L92">
        <f>RTD("tos.rtd", , "STRIKE", ".SPXW240129C4660")</f>
        <v>4660</v>
      </c>
      <c r="M92">
        <f>RTD("tos.rtd", , "BID", ".SPXW240129P4660")</f>
        <v>0</v>
      </c>
      <c r="N92" t="str">
        <f>RTD("tos.rtd", , "BX", ".SPXW240129P4660")</f>
        <v>C</v>
      </c>
      <c r="O92">
        <f>RTD("tos.rtd", , "ASK", ".SPXW240129P4660")</f>
        <v>0.05</v>
      </c>
      <c r="P92" t="str">
        <f>RTD("tos.rtd", , "AX", ".SPXW240129P4660")</f>
        <v>C</v>
      </c>
      <c r="Q92" t="str">
        <f>RTD("tos.rtd", , "VOLUME", ".SPXW240129P4660")</f>
        <v>N/A</v>
      </c>
      <c r="R92">
        <f>RTD("tos.rtd", , "OPEN_INT", ".SPXW240129P4660")</f>
        <v>3460</v>
      </c>
      <c r="S92">
        <f>RTD("tos.rtd", , "DELTA", ".SPXW240129P4660")</f>
        <v>0</v>
      </c>
      <c r="T92">
        <f>RTD("tos.rtd", , "GAMMA", ".SPXW240129P4660")</f>
        <v>0</v>
      </c>
    </row>
    <row r="93" spans="3:20" x14ac:dyDescent="0.25">
      <c r="C93" t="str">
        <f>RTD("tos.rtd", , "VOLUME", ".SPXW240129C4665")</f>
        <v>N/A</v>
      </c>
      <c r="D93">
        <f>RTD("tos.rtd", , "OPEN_INT", ".SPXW240129C4665")</f>
        <v>0</v>
      </c>
      <c r="E93">
        <f>RTD("tos.rtd", , "DELTA", ".SPXW240129C4665")</f>
        <v>1</v>
      </c>
      <c r="F93">
        <f>RTD("tos.rtd", , "GAMMA", ".SPXW240129C4665")</f>
        <v>0</v>
      </c>
      <c r="G93">
        <f>RTD("tos.rtd", , "BID", ".SPXW240129C4665")</f>
        <v>254.3</v>
      </c>
      <c r="H93" t="str">
        <f>RTD("tos.rtd", , "BX", ".SPXW240129C4665")</f>
        <v>C</v>
      </c>
      <c r="I93">
        <f>RTD("tos.rtd", , "ASK", ".SPXW240129C4665")</f>
        <v>272.7</v>
      </c>
      <c r="J93" t="str">
        <f>RTD("tos.rtd", , "AX", ".SPXW240129C4665")</f>
        <v>C</v>
      </c>
      <c r="K93" t="str">
        <f>RTD("tos.rtd", , "EXPIRATION_DAY", ".SPXW240129C4665")</f>
        <v>2024-01-29</v>
      </c>
      <c r="L93">
        <f>RTD("tos.rtd", , "STRIKE", ".SPXW240129C4665")</f>
        <v>4665</v>
      </c>
      <c r="M93">
        <f>RTD("tos.rtd", , "BID", ".SPXW240129P4665")</f>
        <v>0</v>
      </c>
      <c r="N93" t="str">
        <f>RTD("tos.rtd", , "BX", ".SPXW240129P4665")</f>
        <v>C</v>
      </c>
      <c r="O93">
        <f>RTD("tos.rtd", , "ASK", ".SPXW240129P4665")</f>
        <v>0.05</v>
      </c>
      <c r="P93" t="str">
        <f>RTD("tos.rtd", , "AX", ".SPXW240129P4665")</f>
        <v>C</v>
      </c>
      <c r="Q93" t="str">
        <f>RTD("tos.rtd", , "VOLUME", ".SPXW240129P4665")</f>
        <v>N/A</v>
      </c>
      <c r="R93">
        <f>RTD("tos.rtd", , "OPEN_INT", ".SPXW240129P4665")</f>
        <v>630</v>
      </c>
      <c r="S93">
        <f>RTD("tos.rtd", , "DELTA", ".SPXW240129P4665")</f>
        <v>0</v>
      </c>
      <c r="T93">
        <f>RTD("tos.rtd", , "GAMMA", ".SPXW240129P4665")</f>
        <v>0</v>
      </c>
    </row>
    <row r="94" spans="3:20" x14ac:dyDescent="0.25">
      <c r="C94" t="str">
        <f>RTD("tos.rtd", , "VOLUME", ".SPXW240129C4670")</f>
        <v>N/A</v>
      </c>
      <c r="D94">
        <f>RTD("tos.rtd", , "OPEN_INT", ".SPXW240129C4670")</f>
        <v>0</v>
      </c>
      <c r="E94">
        <f>RTD("tos.rtd", , "DELTA", ".SPXW240129C4670")</f>
        <v>1</v>
      </c>
      <c r="F94">
        <f>RTD("tos.rtd", , "GAMMA", ".SPXW240129C4670")</f>
        <v>0</v>
      </c>
      <c r="G94">
        <f>RTD("tos.rtd", , "BID", ".SPXW240129C4670")</f>
        <v>249.3</v>
      </c>
      <c r="H94" t="str">
        <f>RTD("tos.rtd", , "BX", ".SPXW240129C4670")</f>
        <v>C</v>
      </c>
      <c r="I94">
        <f>RTD("tos.rtd", , "ASK", ".SPXW240129C4670")</f>
        <v>267.7</v>
      </c>
      <c r="J94" t="str">
        <f>RTD("tos.rtd", , "AX", ".SPXW240129C4670")</f>
        <v>C</v>
      </c>
      <c r="K94" t="str">
        <f>RTD("tos.rtd", , "EXPIRATION_DAY", ".SPXW240129C4670")</f>
        <v>2024-01-29</v>
      </c>
      <c r="L94">
        <f>RTD("tos.rtd", , "STRIKE", ".SPXW240129C4670")</f>
        <v>4670</v>
      </c>
      <c r="M94">
        <f>RTD("tos.rtd", , "BID", ".SPXW240129P4670")</f>
        <v>0</v>
      </c>
      <c r="N94" t="str">
        <f>RTD("tos.rtd", , "BX", ".SPXW240129P4670")</f>
        <v>C</v>
      </c>
      <c r="O94">
        <f>RTD("tos.rtd", , "ASK", ".SPXW240129P4670")</f>
        <v>0.05</v>
      </c>
      <c r="P94" t="str">
        <f>RTD("tos.rtd", , "AX", ".SPXW240129P4670")</f>
        <v>C</v>
      </c>
      <c r="Q94" t="str">
        <f>RTD("tos.rtd", , "VOLUME", ".SPXW240129P4670")</f>
        <v>N/A</v>
      </c>
      <c r="R94">
        <f>RTD("tos.rtd", , "OPEN_INT", ".SPXW240129P4670")</f>
        <v>529</v>
      </c>
      <c r="S94">
        <f>RTD("tos.rtd", , "DELTA", ".SPXW240129P4670")</f>
        <v>0</v>
      </c>
      <c r="T94">
        <f>RTD("tos.rtd", , "GAMMA", ".SPXW240129P4670")</f>
        <v>0</v>
      </c>
    </row>
    <row r="95" spans="3:20" x14ac:dyDescent="0.25">
      <c r="C95" t="str">
        <f>RTD("tos.rtd", , "VOLUME", ".SPXW240129C4675")</f>
        <v>N/A</v>
      </c>
      <c r="D95">
        <f>RTD("tos.rtd", , "OPEN_INT", ".SPXW240129C4675")</f>
        <v>0</v>
      </c>
      <c r="E95">
        <f>RTD("tos.rtd", , "DELTA", ".SPXW240129C4675")</f>
        <v>1</v>
      </c>
      <c r="F95">
        <f>RTD("tos.rtd", , "GAMMA", ".SPXW240129C4675")</f>
        <v>0</v>
      </c>
      <c r="G95">
        <f>RTD("tos.rtd", , "BID", ".SPXW240129C4675")</f>
        <v>244.3</v>
      </c>
      <c r="H95" t="str">
        <f>RTD("tos.rtd", , "BX", ".SPXW240129C4675")</f>
        <v>C</v>
      </c>
      <c r="I95">
        <f>RTD("tos.rtd", , "ASK", ".SPXW240129C4675")</f>
        <v>262.7</v>
      </c>
      <c r="J95" t="str">
        <f>RTD("tos.rtd", , "AX", ".SPXW240129C4675")</f>
        <v>C</v>
      </c>
      <c r="K95" t="str">
        <f>RTD("tos.rtd", , "EXPIRATION_DAY", ".SPXW240129C4675")</f>
        <v>2024-01-29</v>
      </c>
      <c r="L95">
        <f>RTD("tos.rtd", , "STRIKE", ".SPXW240129C4675")</f>
        <v>4675</v>
      </c>
      <c r="M95">
        <f>RTD("tos.rtd", , "BID", ".SPXW240129P4675")</f>
        <v>0</v>
      </c>
      <c r="N95" t="str">
        <f>RTD("tos.rtd", , "BX", ".SPXW240129P4675")</f>
        <v>C</v>
      </c>
      <c r="O95">
        <f>RTD("tos.rtd", , "ASK", ".SPXW240129P4675")</f>
        <v>0.05</v>
      </c>
      <c r="P95" t="str">
        <f>RTD("tos.rtd", , "AX", ".SPXW240129P4675")</f>
        <v>C</v>
      </c>
      <c r="Q95" t="str">
        <f>RTD("tos.rtd", , "VOLUME", ".SPXW240129P4675")</f>
        <v>N/A</v>
      </c>
      <c r="R95">
        <f>RTD("tos.rtd", , "OPEN_INT", ".SPXW240129P4675")</f>
        <v>4743</v>
      </c>
      <c r="S95">
        <f>RTD("tos.rtd", , "DELTA", ".SPXW240129P4675")</f>
        <v>0</v>
      </c>
      <c r="T95">
        <f>RTD("tos.rtd", , "GAMMA", ".SPXW240129P4675")</f>
        <v>0</v>
      </c>
    </row>
    <row r="96" spans="3:20" x14ac:dyDescent="0.25">
      <c r="C96" t="str">
        <f>RTD("tos.rtd", , "VOLUME", ".SPXW240129C4680")</f>
        <v>N/A</v>
      </c>
      <c r="D96">
        <f>RTD("tos.rtd", , "OPEN_INT", ".SPXW240129C4680")</f>
        <v>0</v>
      </c>
      <c r="E96">
        <f>RTD("tos.rtd", , "DELTA", ".SPXW240129C4680")</f>
        <v>1</v>
      </c>
      <c r="F96">
        <f>RTD("tos.rtd", , "GAMMA", ".SPXW240129C4680")</f>
        <v>0</v>
      </c>
      <c r="G96">
        <f>RTD("tos.rtd", , "BID", ".SPXW240129C4680")</f>
        <v>239.3</v>
      </c>
      <c r="H96" t="str">
        <f>RTD("tos.rtd", , "BX", ".SPXW240129C4680")</f>
        <v>C</v>
      </c>
      <c r="I96">
        <f>RTD("tos.rtd", , "ASK", ".SPXW240129C4680")</f>
        <v>257.7</v>
      </c>
      <c r="J96" t="str">
        <f>RTD("tos.rtd", , "AX", ".SPXW240129C4680")</f>
        <v>C</v>
      </c>
      <c r="K96" t="str">
        <f>RTD("tos.rtd", , "EXPIRATION_DAY", ".SPXW240129C4680")</f>
        <v>2024-01-29</v>
      </c>
      <c r="L96">
        <f>RTD("tos.rtd", , "STRIKE", ".SPXW240129C4680")</f>
        <v>4680</v>
      </c>
      <c r="M96">
        <f>RTD("tos.rtd", , "BID", ".SPXW240129P4680")</f>
        <v>0</v>
      </c>
      <c r="N96" t="str">
        <f>RTD("tos.rtd", , "BX", ".SPXW240129P4680")</f>
        <v>C</v>
      </c>
      <c r="O96">
        <f>RTD("tos.rtd", , "ASK", ".SPXW240129P4680")</f>
        <v>0.05</v>
      </c>
      <c r="P96" t="str">
        <f>RTD("tos.rtd", , "AX", ".SPXW240129P4680")</f>
        <v>C</v>
      </c>
      <c r="Q96" t="str">
        <f>RTD("tos.rtd", , "VOLUME", ".SPXW240129P4680")</f>
        <v>N/A</v>
      </c>
      <c r="R96">
        <f>RTD("tos.rtd", , "OPEN_INT", ".SPXW240129P4680")</f>
        <v>1004</v>
      </c>
      <c r="S96">
        <f>RTD("tos.rtd", , "DELTA", ".SPXW240129P4680")</f>
        <v>0</v>
      </c>
      <c r="T96">
        <f>RTD("tos.rtd", , "GAMMA", ".SPXW240129P4680")</f>
        <v>0</v>
      </c>
    </row>
    <row r="97" spans="3:20" x14ac:dyDescent="0.25">
      <c r="C97" t="str">
        <f>RTD("tos.rtd", , "VOLUME", ".SPXW240129C4685")</f>
        <v>N/A</v>
      </c>
      <c r="D97">
        <f>RTD("tos.rtd", , "OPEN_INT", ".SPXW240129C4685")</f>
        <v>0</v>
      </c>
      <c r="E97">
        <f>RTD("tos.rtd", , "DELTA", ".SPXW240129C4685")</f>
        <v>1</v>
      </c>
      <c r="F97">
        <f>RTD("tos.rtd", , "GAMMA", ".SPXW240129C4685")</f>
        <v>0</v>
      </c>
      <c r="G97">
        <f>RTD("tos.rtd", , "BID", ".SPXW240129C4685")</f>
        <v>234.3</v>
      </c>
      <c r="H97" t="str">
        <f>RTD("tos.rtd", , "BX", ".SPXW240129C4685")</f>
        <v>C</v>
      </c>
      <c r="I97">
        <f>RTD("tos.rtd", , "ASK", ".SPXW240129C4685")</f>
        <v>252.7</v>
      </c>
      <c r="J97" t="str">
        <f>RTD("tos.rtd", , "AX", ".SPXW240129C4685")</f>
        <v>C</v>
      </c>
      <c r="K97" t="str">
        <f>RTD("tos.rtd", , "EXPIRATION_DAY", ".SPXW240129C4685")</f>
        <v>2024-01-29</v>
      </c>
      <c r="L97">
        <f>RTD("tos.rtd", , "STRIKE", ".SPXW240129C4685")</f>
        <v>4685</v>
      </c>
      <c r="M97">
        <f>RTD("tos.rtd", , "BID", ".SPXW240129P4685")</f>
        <v>0</v>
      </c>
      <c r="N97" t="str">
        <f>RTD("tos.rtd", , "BX", ".SPXW240129P4685")</f>
        <v>C</v>
      </c>
      <c r="O97">
        <f>RTD("tos.rtd", , "ASK", ".SPXW240129P4685")</f>
        <v>0.05</v>
      </c>
      <c r="P97" t="str">
        <f>RTD("tos.rtd", , "AX", ".SPXW240129P4685")</f>
        <v>C</v>
      </c>
      <c r="Q97" t="str">
        <f>RTD("tos.rtd", , "VOLUME", ".SPXW240129P4685")</f>
        <v>N/A</v>
      </c>
      <c r="R97">
        <f>RTD("tos.rtd", , "OPEN_INT", ".SPXW240129P4685")</f>
        <v>866</v>
      </c>
      <c r="S97">
        <f>RTD("tos.rtd", , "DELTA", ".SPXW240129P4685")</f>
        <v>0</v>
      </c>
      <c r="T97">
        <f>RTD("tos.rtd", , "GAMMA", ".SPXW240129P4685")</f>
        <v>0</v>
      </c>
    </row>
    <row r="98" spans="3:20" x14ac:dyDescent="0.25">
      <c r="C98" t="str">
        <f>RTD("tos.rtd", , "VOLUME", ".SPXW240129C4690")</f>
        <v>N/A</v>
      </c>
      <c r="D98">
        <f>RTD("tos.rtd", , "OPEN_INT", ".SPXW240129C4690")</f>
        <v>0</v>
      </c>
      <c r="E98">
        <f>RTD("tos.rtd", , "DELTA", ".SPXW240129C4690")</f>
        <v>1</v>
      </c>
      <c r="F98">
        <f>RTD("tos.rtd", , "GAMMA", ".SPXW240129C4690")</f>
        <v>0</v>
      </c>
      <c r="G98">
        <f>RTD("tos.rtd", , "BID", ".SPXW240129C4690")</f>
        <v>229.3</v>
      </c>
      <c r="H98" t="str">
        <f>RTD("tos.rtd", , "BX", ".SPXW240129C4690")</f>
        <v>C</v>
      </c>
      <c r="I98">
        <f>RTD("tos.rtd", , "ASK", ".SPXW240129C4690")</f>
        <v>247.7</v>
      </c>
      <c r="J98" t="str">
        <f>RTD("tos.rtd", , "AX", ".SPXW240129C4690")</f>
        <v>C</v>
      </c>
      <c r="K98" t="str">
        <f>RTD("tos.rtd", , "EXPIRATION_DAY", ".SPXW240129C4690")</f>
        <v>2024-01-29</v>
      </c>
      <c r="L98">
        <f>RTD("tos.rtd", , "STRIKE", ".SPXW240129C4690")</f>
        <v>4690</v>
      </c>
      <c r="M98">
        <f>RTD("tos.rtd", , "BID", ".SPXW240129P4690")</f>
        <v>0</v>
      </c>
      <c r="N98" t="str">
        <f>RTD("tos.rtd", , "BX", ".SPXW240129P4690")</f>
        <v>C</v>
      </c>
      <c r="O98">
        <f>RTD("tos.rtd", , "ASK", ".SPXW240129P4690")</f>
        <v>0.05</v>
      </c>
      <c r="P98" t="str">
        <f>RTD("tos.rtd", , "AX", ".SPXW240129P4690")</f>
        <v>C</v>
      </c>
      <c r="Q98" t="str">
        <f>RTD("tos.rtd", , "VOLUME", ".SPXW240129P4690")</f>
        <v>N/A</v>
      </c>
      <c r="R98">
        <f>RTD("tos.rtd", , "OPEN_INT", ".SPXW240129P4690")</f>
        <v>450</v>
      </c>
      <c r="S98">
        <f>RTD("tos.rtd", , "DELTA", ".SPXW240129P4690")</f>
        <v>0</v>
      </c>
      <c r="T98">
        <f>RTD("tos.rtd", , "GAMMA", ".SPXW240129P4690")</f>
        <v>0</v>
      </c>
    </row>
    <row r="99" spans="3:20" x14ac:dyDescent="0.25">
      <c r="C99" t="str">
        <f>RTD("tos.rtd", , "VOLUME", ".SPXW240129C4695")</f>
        <v>N/A</v>
      </c>
      <c r="D99">
        <f>RTD("tos.rtd", , "OPEN_INT", ".SPXW240129C4695")</f>
        <v>0</v>
      </c>
      <c r="E99">
        <f>RTD("tos.rtd", , "DELTA", ".SPXW240129C4695")</f>
        <v>1</v>
      </c>
      <c r="F99">
        <f>RTD("tos.rtd", , "GAMMA", ".SPXW240129C4695")</f>
        <v>0</v>
      </c>
      <c r="G99">
        <f>RTD("tos.rtd", , "BID", ".SPXW240129C4695")</f>
        <v>224.3</v>
      </c>
      <c r="H99" t="str">
        <f>RTD("tos.rtd", , "BX", ".SPXW240129C4695")</f>
        <v>C</v>
      </c>
      <c r="I99">
        <f>RTD("tos.rtd", , "ASK", ".SPXW240129C4695")</f>
        <v>242.7</v>
      </c>
      <c r="J99" t="str">
        <f>RTD("tos.rtd", , "AX", ".SPXW240129C4695")</f>
        <v>C</v>
      </c>
      <c r="K99" t="str">
        <f>RTD("tos.rtd", , "EXPIRATION_DAY", ".SPXW240129C4695")</f>
        <v>2024-01-29</v>
      </c>
      <c r="L99">
        <f>RTD("tos.rtd", , "STRIKE", ".SPXW240129C4695")</f>
        <v>4695</v>
      </c>
      <c r="M99">
        <f>RTD("tos.rtd", , "BID", ".SPXW240129P4695")</f>
        <v>0</v>
      </c>
      <c r="N99" t="str">
        <f>RTD("tos.rtd", , "BX", ".SPXW240129P4695")</f>
        <v>C</v>
      </c>
      <c r="O99">
        <f>RTD("tos.rtd", , "ASK", ".SPXW240129P4695")</f>
        <v>0.05</v>
      </c>
      <c r="P99" t="str">
        <f>RTD("tos.rtd", , "AX", ".SPXW240129P4695")</f>
        <v>C</v>
      </c>
      <c r="Q99" t="str">
        <f>RTD("tos.rtd", , "VOLUME", ".SPXW240129P4695")</f>
        <v>N/A</v>
      </c>
      <c r="R99">
        <f>RTD("tos.rtd", , "OPEN_INT", ".SPXW240129P4695")</f>
        <v>3517</v>
      </c>
      <c r="S99">
        <f>RTD("tos.rtd", , "DELTA", ".SPXW240129P4695")</f>
        <v>0</v>
      </c>
      <c r="T99">
        <f>RTD("tos.rtd", , "GAMMA", ".SPXW240129P4695")</f>
        <v>0</v>
      </c>
    </row>
    <row r="100" spans="3:20" x14ac:dyDescent="0.25">
      <c r="C100" t="str">
        <f>RTD("tos.rtd", , "VOLUME", ".SPXW240129C4700")</f>
        <v>N/A</v>
      </c>
      <c r="D100">
        <f>RTD("tos.rtd", , "OPEN_INT", ".SPXW240129C4700")</f>
        <v>0</v>
      </c>
      <c r="E100">
        <f>RTD("tos.rtd", , "DELTA", ".SPXW240129C4700")</f>
        <v>1</v>
      </c>
      <c r="F100">
        <f>RTD("tos.rtd", , "GAMMA", ".SPXW240129C4700")</f>
        <v>0</v>
      </c>
      <c r="G100">
        <f>RTD("tos.rtd", , "BID", ".SPXW240129C4700")</f>
        <v>219.3</v>
      </c>
      <c r="H100" t="str">
        <f>RTD("tos.rtd", , "BX", ".SPXW240129C4700")</f>
        <v>C</v>
      </c>
      <c r="I100">
        <f>RTD("tos.rtd", , "ASK", ".SPXW240129C4700")</f>
        <v>237.7</v>
      </c>
      <c r="J100" t="str">
        <f>RTD("tos.rtd", , "AX", ".SPXW240129C4700")</f>
        <v>C</v>
      </c>
      <c r="K100" t="str">
        <f>RTD("tos.rtd", , "EXPIRATION_DAY", ".SPXW240129C4700")</f>
        <v>2024-01-29</v>
      </c>
      <c r="L100">
        <f>RTD("tos.rtd", , "STRIKE", ".SPXW240129C4700")</f>
        <v>4700</v>
      </c>
      <c r="M100">
        <f>RTD("tos.rtd", , "BID", ".SPXW240129P4700")</f>
        <v>0</v>
      </c>
      <c r="N100" t="str">
        <f>RTD("tos.rtd", , "BX", ".SPXW240129P4700")</f>
        <v>C</v>
      </c>
      <c r="O100">
        <f>RTD("tos.rtd", , "ASK", ".SPXW240129P4700")</f>
        <v>0.05</v>
      </c>
      <c r="P100" t="str">
        <f>RTD("tos.rtd", , "AX", ".SPXW240129P4700")</f>
        <v>C</v>
      </c>
      <c r="Q100" t="str">
        <f>RTD("tos.rtd", , "VOLUME", ".SPXW240129P4700")</f>
        <v>N/A</v>
      </c>
      <c r="R100">
        <f>RTD("tos.rtd", , "OPEN_INT", ".SPXW240129P4700")</f>
        <v>3772</v>
      </c>
      <c r="S100">
        <f>RTD("tos.rtd", , "DELTA", ".SPXW240129P4700")</f>
        <v>0</v>
      </c>
      <c r="T100">
        <f>RTD("tos.rtd", , "GAMMA", ".SPXW240129P4700")</f>
        <v>0</v>
      </c>
    </row>
    <row r="101" spans="3:20" x14ac:dyDescent="0.25">
      <c r="C101" t="str">
        <f>RTD("tos.rtd", , "VOLUME", ".SPXW240129C4705")</f>
        <v>N/A</v>
      </c>
      <c r="D101">
        <f>RTD("tos.rtd", , "OPEN_INT", ".SPXW240129C4705")</f>
        <v>0</v>
      </c>
      <c r="E101">
        <f>RTD("tos.rtd", , "DELTA", ".SPXW240129C4705")</f>
        <v>1</v>
      </c>
      <c r="F101">
        <f>RTD("tos.rtd", , "GAMMA", ".SPXW240129C4705")</f>
        <v>0</v>
      </c>
      <c r="G101">
        <f>RTD("tos.rtd", , "BID", ".SPXW240129C4705")</f>
        <v>214.3</v>
      </c>
      <c r="H101" t="str">
        <f>RTD("tos.rtd", , "BX", ".SPXW240129C4705")</f>
        <v>C</v>
      </c>
      <c r="I101">
        <f>RTD("tos.rtd", , "ASK", ".SPXW240129C4705")</f>
        <v>232.7</v>
      </c>
      <c r="J101" t="str">
        <f>RTD("tos.rtd", , "AX", ".SPXW240129C4705")</f>
        <v>C</v>
      </c>
      <c r="K101" t="str">
        <f>RTD("tos.rtd", , "EXPIRATION_DAY", ".SPXW240129C4705")</f>
        <v>2024-01-29</v>
      </c>
      <c r="L101">
        <f>RTD("tos.rtd", , "STRIKE", ".SPXW240129C4705")</f>
        <v>4705</v>
      </c>
      <c r="M101">
        <f>RTD("tos.rtd", , "BID", ".SPXW240129P4705")</f>
        <v>0</v>
      </c>
      <c r="N101" t="str">
        <f>RTD("tos.rtd", , "BX", ".SPXW240129P4705")</f>
        <v>C</v>
      </c>
      <c r="O101">
        <f>RTD("tos.rtd", , "ASK", ".SPXW240129P4705")</f>
        <v>0.05</v>
      </c>
      <c r="P101" t="str">
        <f>RTD("tos.rtd", , "AX", ".SPXW240129P4705")</f>
        <v>C</v>
      </c>
      <c r="Q101" t="str">
        <f>RTD("tos.rtd", , "VOLUME", ".SPXW240129P4705")</f>
        <v>N/A</v>
      </c>
      <c r="R101">
        <f>RTD("tos.rtd", , "OPEN_INT", ".SPXW240129P4705")</f>
        <v>305</v>
      </c>
      <c r="S101">
        <f>RTD("tos.rtd", , "DELTA", ".SPXW240129P4705")</f>
        <v>0</v>
      </c>
      <c r="T101">
        <f>RTD("tos.rtd", , "GAMMA", ".SPXW240129P4705")</f>
        <v>0</v>
      </c>
    </row>
    <row r="102" spans="3:20" x14ac:dyDescent="0.25">
      <c r="C102" t="str">
        <f>RTD("tos.rtd", , "VOLUME", ".SPXW240129C4710")</f>
        <v>N/A</v>
      </c>
      <c r="D102">
        <f>RTD("tos.rtd", , "OPEN_INT", ".SPXW240129C4710")</f>
        <v>0</v>
      </c>
      <c r="E102">
        <f>RTD("tos.rtd", , "DELTA", ".SPXW240129C4710")</f>
        <v>1</v>
      </c>
      <c r="F102">
        <f>RTD("tos.rtd", , "GAMMA", ".SPXW240129C4710")</f>
        <v>0</v>
      </c>
      <c r="G102">
        <f>RTD("tos.rtd", , "BID", ".SPXW240129C4710")</f>
        <v>210.3</v>
      </c>
      <c r="H102" t="str">
        <f>RTD("tos.rtd", , "BX", ".SPXW240129C4710")</f>
        <v>C</v>
      </c>
      <c r="I102">
        <f>RTD("tos.rtd", , "ASK", ".SPXW240129C4710")</f>
        <v>226.3</v>
      </c>
      <c r="J102" t="str">
        <f>RTD("tos.rtd", , "AX", ".SPXW240129C4710")</f>
        <v>C</v>
      </c>
      <c r="K102" t="str">
        <f>RTD("tos.rtd", , "EXPIRATION_DAY", ".SPXW240129C4710")</f>
        <v>2024-01-29</v>
      </c>
      <c r="L102">
        <f>RTD("tos.rtd", , "STRIKE", ".SPXW240129C4710")</f>
        <v>4710</v>
      </c>
      <c r="M102">
        <f>RTD("tos.rtd", , "BID", ".SPXW240129P4710")</f>
        <v>0</v>
      </c>
      <c r="N102" t="str">
        <f>RTD("tos.rtd", , "BX", ".SPXW240129P4710")</f>
        <v>C</v>
      </c>
      <c r="O102">
        <f>RTD("tos.rtd", , "ASK", ".SPXW240129P4710")</f>
        <v>0.05</v>
      </c>
      <c r="P102" t="str">
        <f>RTD("tos.rtd", , "AX", ".SPXW240129P4710")</f>
        <v>C</v>
      </c>
      <c r="Q102" t="str">
        <f>RTD("tos.rtd", , "VOLUME", ".SPXW240129P4710")</f>
        <v>N/A</v>
      </c>
      <c r="R102">
        <f>RTD("tos.rtd", , "OPEN_INT", ".SPXW240129P4710")</f>
        <v>509</v>
      </c>
      <c r="S102">
        <f>RTD("tos.rtd", , "DELTA", ".SPXW240129P4710")</f>
        <v>0</v>
      </c>
      <c r="T102">
        <f>RTD("tos.rtd", , "GAMMA", ".SPXW240129P4710")</f>
        <v>0</v>
      </c>
    </row>
    <row r="103" spans="3:20" x14ac:dyDescent="0.25">
      <c r="C103" t="str">
        <f>RTD("tos.rtd", , "VOLUME", ".SPXW240129C4715")</f>
        <v>N/A</v>
      </c>
      <c r="D103">
        <f>RTD("tos.rtd", , "OPEN_INT", ".SPXW240129C4715")</f>
        <v>0</v>
      </c>
      <c r="E103">
        <f>RTD("tos.rtd", , "DELTA", ".SPXW240129C4715")</f>
        <v>1</v>
      </c>
      <c r="F103">
        <f>RTD("tos.rtd", , "GAMMA", ".SPXW240129C4715")</f>
        <v>0</v>
      </c>
      <c r="G103">
        <f>RTD("tos.rtd", , "BID", ".SPXW240129C4715")</f>
        <v>207.3</v>
      </c>
      <c r="H103" t="str">
        <f>RTD("tos.rtd", , "BX", ".SPXW240129C4715")</f>
        <v>C</v>
      </c>
      <c r="I103">
        <f>RTD("tos.rtd", , "ASK", ".SPXW240129C4715")</f>
        <v>219.7</v>
      </c>
      <c r="J103" t="str">
        <f>RTD("tos.rtd", , "AX", ".SPXW240129C4715")</f>
        <v>C</v>
      </c>
      <c r="K103" t="str">
        <f>RTD("tos.rtd", , "EXPIRATION_DAY", ".SPXW240129C4715")</f>
        <v>2024-01-29</v>
      </c>
      <c r="L103">
        <f>RTD("tos.rtd", , "STRIKE", ".SPXW240129C4715")</f>
        <v>4715</v>
      </c>
      <c r="M103">
        <f>RTD("tos.rtd", , "BID", ".SPXW240129P4715")</f>
        <v>0</v>
      </c>
      <c r="N103" t="str">
        <f>RTD("tos.rtd", , "BX", ".SPXW240129P4715")</f>
        <v>C</v>
      </c>
      <c r="O103">
        <f>RTD("tos.rtd", , "ASK", ".SPXW240129P4715")</f>
        <v>0.05</v>
      </c>
      <c r="P103" t="str">
        <f>RTD("tos.rtd", , "AX", ".SPXW240129P4715")</f>
        <v>C</v>
      </c>
      <c r="Q103" t="str">
        <f>RTD("tos.rtd", , "VOLUME", ".SPXW240129P4715")</f>
        <v>N/A</v>
      </c>
      <c r="R103">
        <f>RTD("tos.rtd", , "OPEN_INT", ".SPXW240129P4715")</f>
        <v>256</v>
      </c>
      <c r="S103">
        <f>RTD("tos.rtd", , "DELTA", ".SPXW240129P4715")</f>
        <v>0</v>
      </c>
      <c r="T103">
        <f>RTD("tos.rtd", , "GAMMA", ".SPXW240129P4715")</f>
        <v>0</v>
      </c>
    </row>
    <row r="104" spans="3:20" x14ac:dyDescent="0.25">
      <c r="C104" t="str">
        <f>RTD("tos.rtd", , "VOLUME", ".SPXW240129C4720")</f>
        <v>N/A</v>
      </c>
      <c r="D104">
        <f>RTD("tos.rtd", , "OPEN_INT", ".SPXW240129C4720")</f>
        <v>0</v>
      </c>
      <c r="E104">
        <f>RTD("tos.rtd", , "DELTA", ".SPXW240129C4720")</f>
        <v>1</v>
      </c>
      <c r="F104">
        <f>RTD("tos.rtd", , "GAMMA", ".SPXW240129C4720")</f>
        <v>0</v>
      </c>
      <c r="G104">
        <f>RTD("tos.rtd", , "BID", ".SPXW240129C4720")</f>
        <v>202.3</v>
      </c>
      <c r="H104" t="str">
        <f>RTD("tos.rtd", , "BX", ".SPXW240129C4720")</f>
        <v>C</v>
      </c>
      <c r="I104">
        <f>RTD("tos.rtd", , "ASK", ".SPXW240129C4720")</f>
        <v>214.8</v>
      </c>
      <c r="J104" t="str">
        <f>RTD("tos.rtd", , "AX", ".SPXW240129C4720")</f>
        <v>C</v>
      </c>
      <c r="K104" t="str">
        <f>RTD("tos.rtd", , "EXPIRATION_DAY", ".SPXW240129C4720")</f>
        <v>2024-01-29</v>
      </c>
      <c r="L104">
        <f>RTD("tos.rtd", , "STRIKE", ".SPXW240129C4720")</f>
        <v>4720</v>
      </c>
      <c r="M104">
        <f>RTD("tos.rtd", , "BID", ".SPXW240129P4720")</f>
        <v>0</v>
      </c>
      <c r="N104" t="str">
        <f>RTD("tos.rtd", , "BX", ".SPXW240129P4720")</f>
        <v>C</v>
      </c>
      <c r="O104">
        <f>RTD("tos.rtd", , "ASK", ".SPXW240129P4720")</f>
        <v>0.05</v>
      </c>
      <c r="P104" t="str">
        <f>RTD("tos.rtd", , "AX", ".SPXW240129P4720")</f>
        <v>C</v>
      </c>
      <c r="Q104" t="str">
        <f>RTD("tos.rtd", , "VOLUME", ".SPXW240129P4720")</f>
        <v>N/A</v>
      </c>
      <c r="R104">
        <f>RTD("tos.rtd", , "OPEN_INT", ".SPXW240129P4720")</f>
        <v>2346</v>
      </c>
      <c r="S104">
        <f>RTD("tos.rtd", , "DELTA", ".SPXW240129P4720")</f>
        <v>0</v>
      </c>
      <c r="T104">
        <f>RTD("tos.rtd", , "GAMMA", ".SPXW240129P4720")</f>
        <v>0</v>
      </c>
    </row>
    <row r="105" spans="3:20" x14ac:dyDescent="0.25">
      <c r="C105" t="str">
        <f>RTD("tos.rtd", , "VOLUME", ".SPXW240129C4725")</f>
        <v>N/A</v>
      </c>
      <c r="D105">
        <f>RTD("tos.rtd", , "OPEN_INT", ".SPXW240129C4725")</f>
        <v>0</v>
      </c>
      <c r="E105">
        <f>RTD("tos.rtd", , "DELTA", ".SPXW240129C4725")</f>
        <v>1</v>
      </c>
      <c r="F105">
        <f>RTD("tos.rtd", , "GAMMA", ".SPXW240129C4725")</f>
        <v>0</v>
      </c>
      <c r="G105">
        <f>RTD("tos.rtd", , "BID", ".SPXW240129C4725")</f>
        <v>197.3</v>
      </c>
      <c r="H105" t="str">
        <f>RTD("tos.rtd", , "BX", ".SPXW240129C4725")</f>
        <v>C</v>
      </c>
      <c r="I105">
        <f>RTD("tos.rtd", , "ASK", ".SPXW240129C4725")</f>
        <v>209.8</v>
      </c>
      <c r="J105" t="str">
        <f>RTD("tos.rtd", , "AX", ".SPXW240129C4725")</f>
        <v>C</v>
      </c>
      <c r="K105" t="str">
        <f>RTD("tos.rtd", , "EXPIRATION_DAY", ".SPXW240129C4725")</f>
        <v>2024-01-29</v>
      </c>
      <c r="L105">
        <f>RTD("tos.rtd", , "STRIKE", ".SPXW240129C4725")</f>
        <v>4725</v>
      </c>
      <c r="M105">
        <f>RTD("tos.rtd", , "BID", ".SPXW240129P4725")</f>
        <v>0</v>
      </c>
      <c r="N105" t="str">
        <f>RTD("tos.rtd", , "BX", ".SPXW240129P4725")</f>
        <v>C</v>
      </c>
      <c r="O105">
        <f>RTD("tos.rtd", , "ASK", ".SPXW240129P4725")</f>
        <v>0.05</v>
      </c>
      <c r="P105" t="str">
        <f>RTD("tos.rtd", , "AX", ".SPXW240129P4725")</f>
        <v>C</v>
      </c>
      <c r="Q105" t="str">
        <f>RTD("tos.rtd", , "VOLUME", ".SPXW240129P4725")</f>
        <v>N/A</v>
      </c>
      <c r="R105">
        <f>RTD("tos.rtd", , "OPEN_INT", ".SPXW240129P4725")</f>
        <v>1653</v>
      </c>
      <c r="S105">
        <f>RTD("tos.rtd", , "DELTA", ".SPXW240129P4725")</f>
        <v>0</v>
      </c>
      <c r="T105">
        <f>RTD("tos.rtd", , "GAMMA", ".SPXW240129P4725")</f>
        <v>0</v>
      </c>
    </row>
    <row r="106" spans="3:20" x14ac:dyDescent="0.25">
      <c r="C106" t="str">
        <f>RTD("tos.rtd", , "VOLUME", ".SPXW240129C4730")</f>
        <v>N/A</v>
      </c>
      <c r="D106">
        <f>RTD("tos.rtd", , "OPEN_INT", ".SPXW240129C4730")</f>
        <v>0</v>
      </c>
      <c r="E106">
        <f>RTD("tos.rtd", , "DELTA", ".SPXW240129C4730")</f>
        <v>1</v>
      </c>
      <c r="F106">
        <f>RTD("tos.rtd", , "GAMMA", ".SPXW240129C4730")</f>
        <v>0</v>
      </c>
      <c r="G106">
        <f>RTD("tos.rtd", , "BID", ".SPXW240129C4730")</f>
        <v>192.3</v>
      </c>
      <c r="H106" t="str">
        <f>RTD("tos.rtd", , "BX", ".SPXW240129C4730")</f>
        <v>C</v>
      </c>
      <c r="I106">
        <f>RTD("tos.rtd", , "ASK", ".SPXW240129C4730")</f>
        <v>204.8</v>
      </c>
      <c r="J106" t="str">
        <f>RTD("tos.rtd", , "AX", ".SPXW240129C4730")</f>
        <v>C</v>
      </c>
      <c r="K106" t="str">
        <f>RTD("tos.rtd", , "EXPIRATION_DAY", ".SPXW240129C4730")</f>
        <v>2024-01-29</v>
      </c>
      <c r="L106">
        <f>RTD("tos.rtd", , "STRIKE", ".SPXW240129C4730")</f>
        <v>4730</v>
      </c>
      <c r="M106">
        <f>RTD("tos.rtd", , "BID", ".SPXW240129P4730")</f>
        <v>0</v>
      </c>
      <c r="N106" t="str">
        <f>RTD("tos.rtd", , "BX", ".SPXW240129P4730")</f>
        <v>C</v>
      </c>
      <c r="O106">
        <f>RTD("tos.rtd", , "ASK", ".SPXW240129P4730")</f>
        <v>0.05</v>
      </c>
      <c r="P106" t="str">
        <f>RTD("tos.rtd", , "AX", ".SPXW240129P4730")</f>
        <v>C</v>
      </c>
      <c r="Q106" t="str">
        <f>RTD("tos.rtd", , "VOLUME", ".SPXW240129P4730")</f>
        <v>N/A</v>
      </c>
      <c r="R106">
        <f>RTD("tos.rtd", , "OPEN_INT", ".SPXW240129P4730")</f>
        <v>607</v>
      </c>
      <c r="S106">
        <f>RTD("tos.rtd", , "DELTA", ".SPXW240129P4730")</f>
        <v>0</v>
      </c>
      <c r="T106">
        <f>RTD("tos.rtd", , "GAMMA", ".SPXW240129P4730")</f>
        <v>0</v>
      </c>
    </row>
    <row r="107" spans="3:20" x14ac:dyDescent="0.25">
      <c r="C107" t="str">
        <f>RTD("tos.rtd", , "VOLUME", ".SPXW240129C4735")</f>
        <v>N/A</v>
      </c>
      <c r="D107">
        <f>RTD("tos.rtd", , "OPEN_INT", ".SPXW240129C4735")</f>
        <v>0</v>
      </c>
      <c r="E107">
        <f>RTD("tos.rtd", , "DELTA", ".SPXW240129C4735")</f>
        <v>1</v>
      </c>
      <c r="F107">
        <f>RTD("tos.rtd", , "GAMMA", ".SPXW240129C4735")</f>
        <v>0</v>
      </c>
      <c r="G107">
        <f>RTD("tos.rtd", , "BID", ".SPXW240129C4735")</f>
        <v>187.3</v>
      </c>
      <c r="H107" t="str">
        <f>RTD("tos.rtd", , "BX", ".SPXW240129C4735")</f>
        <v>C</v>
      </c>
      <c r="I107">
        <f>RTD("tos.rtd", , "ASK", ".SPXW240129C4735")</f>
        <v>199.8</v>
      </c>
      <c r="J107" t="str">
        <f>RTD("tos.rtd", , "AX", ".SPXW240129C4735")</f>
        <v>C</v>
      </c>
      <c r="K107" t="str">
        <f>RTD("tos.rtd", , "EXPIRATION_DAY", ".SPXW240129C4735")</f>
        <v>2024-01-29</v>
      </c>
      <c r="L107">
        <f>RTD("tos.rtd", , "STRIKE", ".SPXW240129C4735")</f>
        <v>4735</v>
      </c>
      <c r="M107">
        <f>RTD("tos.rtd", , "BID", ".SPXW240129P4735")</f>
        <v>0</v>
      </c>
      <c r="N107" t="str">
        <f>RTD("tos.rtd", , "BX", ".SPXW240129P4735")</f>
        <v>C</v>
      </c>
      <c r="O107">
        <f>RTD("tos.rtd", , "ASK", ".SPXW240129P4735")</f>
        <v>0.05</v>
      </c>
      <c r="P107" t="str">
        <f>RTD("tos.rtd", , "AX", ".SPXW240129P4735")</f>
        <v>C</v>
      </c>
      <c r="Q107" t="str">
        <f>RTD("tos.rtd", , "VOLUME", ".SPXW240129P4735")</f>
        <v>N/A</v>
      </c>
      <c r="R107">
        <f>RTD("tos.rtd", , "OPEN_INT", ".SPXW240129P4735")</f>
        <v>385</v>
      </c>
      <c r="S107">
        <f>RTD("tos.rtd", , "DELTA", ".SPXW240129P4735")</f>
        <v>0</v>
      </c>
      <c r="T107">
        <f>RTD("tos.rtd", , "GAMMA", ".SPXW240129P4735")</f>
        <v>0</v>
      </c>
    </row>
    <row r="108" spans="3:20" x14ac:dyDescent="0.25">
      <c r="C108" t="str">
        <f>RTD("tos.rtd", , "VOLUME", ".SPXW240129C4740")</f>
        <v>N/A</v>
      </c>
      <c r="D108">
        <f>RTD("tos.rtd", , "OPEN_INT", ".SPXW240129C4740")</f>
        <v>0</v>
      </c>
      <c r="E108">
        <f>RTD("tos.rtd", , "DELTA", ".SPXW240129C4740")</f>
        <v>1</v>
      </c>
      <c r="F108">
        <f>RTD("tos.rtd", , "GAMMA", ".SPXW240129C4740")</f>
        <v>0</v>
      </c>
      <c r="G108">
        <f>RTD("tos.rtd", , "BID", ".SPXW240129C4740")</f>
        <v>182.4</v>
      </c>
      <c r="H108" t="str">
        <f>RTD("tos.rtd", , "BX", ".SPXW240129C4740")</f>
        <v>C</v>
      </c>
      <c r="I108">
        <f>RTD("tos.rtd", , "ASK", ".SPXW240129C4740")</f>
        <v>194.8</v>
      </c>
      <c r="J108" t="str">
        <f>RTD("tos.rtd", , "AX", ".SPXW240129C4740")</f>
        <v>C</v>
      </c>
      <c r="K108" t="str">
        <f>RTD("tos.rtd", , "EXPIRATION_DAY", ".SPXW240129C4740")</f>
        <v>2024-01-29</v>
      </c>
      <c r="L108">
        <f>RTD("tos.rtd", , "STRIKE", ".SPXW240129C4740")</f>
        <v>4740</v>
      </c>
      <c r="M108">
        <f>RTD("tos.rtd", , "BID", ".SPXW240129P4740")</f>
        <v>0</v>
      </c>
      <c r="N108" t="str">
        <f>RTD("tos.rtd", , "BX", ".SPXW240129P4740")</f>
        <v>C</v>
      </c>
      <c r="O108">
        <f>RTD("tos.rtd", , "ASK", ".SPXW240129P4740")</f>
        <v>0.05</v>
      </c>
      <c r="P108" t="str">
        <f>RTD("tos.rtd", , "AX", ".SPXW240129P4740")</f>
        <v>C</v>
      </c>
      <c r="Q108" t="str">
        <f>RTD("tos.rtd", , "VOLUME", ".SPXW240129P4740")</f>
        <v>N/A</v>
      </c>
      <c r="R108">
        <f>RTD("tos.rtd", , "OPEN_INT", ".SPXW240129P4740")</f>
        <v>711</v>
      </c>
      <c r="S108">
        <f>RTD("tos.rtd", , "DELTA", ".SPXW240129P4740")</f>
        <v>0</v>
      </c>
      <c r="T108">
        <f>RTD("tos.rtd", , "GAMMA", ".SPXW240129P4740")</f>
        <v>0</v>
      </c>
    </row>
    <row r="109" spans="3:20" x14ac:dyDescent="0.25">
      <c r="C109" t="str">
        <f>RTD("tos.rtd", , "VOLUME", ".SPXW240129C4745")</f>
        <v>N/A</v>
      </c>
      <c r="D109">
        <f>RTD("tos.rtd", , "OPEN_INT", ".SPXW240129C4745")</f>
        <v>0</v>
      </c>
      <c r="E109">
        <f>RTD("tos.rtd", , "DELTA", ".SPXW240129C4745")</f>
        <v>1</v>
      </c>
      <c r="F109">
        <f>RTD("tos.rtd", , "GAMMA", ".SPXW240129C4745")</f>
        <v>0</v>
      </c>
      <c r="G109">
        <f>RTD("tos.rtd", , "BID", ".SPXW240129C4745")</f>
        <v>177.4</v>
      </c>
      <c r="H109" t="str">
        <f>RTD("tos.rtd", , "BX", ".SPXW240129C4745")</f>
        <v>C</v>
      </c>
      <c r="I109">
        <f>RTD("tos.rtd", , "ASK", ".SPXW240129C4745")</f>
        <v>189.7</v>
      </c>
      <c r="J109" t="str">
        <f>RTD("tos.rtd", , "AX", ".SPXW240129C4745")</f>
        <v>C</v>
      </c>
      <c r="K109" t="str">
        <f>RTD("tos.rtd", , "EXPIRATION_DAY", ".SPXW240129C4745")</f>
        <v>2024-01-29</v>
      </c>
      <c r="L109">
        <f>RTD("tos.rtd", , "STRIKE", ".SPXW240129C4745")</f>
        <v>4745</v>
      </c>
      <c r="M109">
        <f>RTD("tos.rtd", , "BID", ".SPXW240129P4745")</f>
        <v>0</v>
      </c>
      <c r="N109" t="str">
        <f>RTD("tos.rtd", , "BX", ".SPXW240129P4745")</f>
        <v>C</v>
      </c>
      <c r="O109">
        <f>RTD("tos.rtd", , "ASK", ".SPXW240129P4745")</f>
        <v>0.05</v>
      </c>
      <c r="P109" t="str">
        <f>RTD("tos.rtd", , "AX", ".SPXW240129P4745")</f>
        <v>C</v>
      </c>
      <c r="Q109" t="str">
        <f>RTD("tos.rtd", , "VOLUME", ".SPXW240129P4745")</f>
        <v>N/A</v>
      </c>
      <c r="R109">
        <f>RTD("tos.rtd", , "OPEN_INT", ".SPXW240129P4745")</f>
        <v>668</v>
      </c>
      <c r="S109">
        <f>RTD("tos.rtd", , "DELTA", ".SPXW240129P4745")</f>
        <v>0</v>
      </c>
      <c r="T109">
        <f>RTD("tos.rtd", , "GAMMA", ".SPXW240129P4745")</f>
        <v>0</v>
      </c>
    </row>
    <row r="110" spans="3:20" x14ac:dyDescent="0.25">
      <c r="C110" t="str">
        <f>RTD("tos.rtd", , "VOLUME", ".SPXW240129C4750")</f>
        <v>N/A</v>
      </c>
      <c r="D110">
        <f>RTD("tos.rtd", , "OPEN_INT", ".SPXW240129C4750")</f>
        <v>0</v>
      </c>
      <c r="E110">
        <f>RTD("tos.rtd", , "DELTA", ".SPXW240129C4750")</f>
        <v>1</v>
      </c>
      <c r="F110">
        <f>RTD("tos.rtd", , "GAMMA", ".SPXW240129C4750")</f>
        <v>0</v>
      </c>
      <c r="G110">
        <f>RTD("tos.rtd", , "BID", ".SPXW240129C4750")</f>
        <v>172.4</v>
      </c>
      <c r="H110" t="str">
        <f>RTD("tos.rtd", , "BX", ".SPXW240129C4750")</f>
        <v>C</v>
      </c>
      <c r="I110">
        <f>RTD("tos.rtd", , "ASK", ".SPXW240129C4750")</f>
        <v>184.7</v>
      </c>
      <c r="J110" t="str">
        <f>RTD("tos.rtd", , "AX", ".SPXW240129C4750")</f>
        <v>C</v>
      </c>
      <c r="K110" t="str">
        <f>RTD("tos.rtd", , "EXPIRATION_DAY", ".SPXW240129C4750")</f>
        <v>2024-01-29</v>
      </c>
      <c r="L110">
        <f>RTD("tos.rtd", , "STRIKE", ".SPXW240129C4750")</f>
        <v>4750</v>
      </c>
      <c r="M110">
        <f>RTD("tos.rtd", , "BID", ".SPXW240129P4750")</f>
        <v>0</v>
      </c>
      <c r="N110" t="str">
        <f>RTD("tos.rtd", , "BX", ".SPXW240129P4750")</f>
        <v>C</v>
      </c>
      <c r="O110">
        <f>RTD("tos.rtd", , "ASK", ".SPXW240129P4750")</f>
        <v>0.05</v>
      </c>
      <c r="P110" t="str">
        <f>RTD("tos.rtd", , "AX", ".SPXW240129P4750")</f>
        <v>C</v>
      </c>
      <c r="Q110" t="str">
        <f>RTD("tos.rtd", , "VOLUME", ".SPXW240129P4750")</f>
        <v>N/A</v>
      </c>
      <c r="R110">
        <f>RTD("tos.rtd", , "OPEN_INT", ".SPXW240129P4750")</f>
        <v>7599</v>
      </c>
      <c r="S110">
        <f>RTD("tos.rtd", , "DELTA", ".SPXW240129P4750")</f>
        <v>0</v>
      </c>
      <c r="T110">
        <f>RTD("tos.rtd", , "GAMMA", ".SPXW240129P4750")</f>
        <v>0</v>
      </c>
    </row>
    <row r="111" spans="3:20" x14ac:dyDescent="0.25">
      <c r="C111" t="str">
        <f>RTD("tos.rtd", , "VOLUME", ".SPXW240129C4755")</f>
        <v>N/A</v>
      </c>
      <c r="D111">
        <f>RTD("tos.rtd", , "OPEN_INT", ".SPXW240129C4755")</f>
        <v>0</v>
      </c>
      <c r="E111">
        <f>RTD("tos.rtd", , "DELTA", ".SPXW240129C4755")</f>
        <v>1</v>
      </c>
      <c r="F111">
        <f>RTD("tos.rtd", , "GAMMA", ".SPXW240129C4755")</f>
        <v>0</v>
      </c>
      <c r="G111">
        <f>RTD("tos.rtd", , "BID", ".SPXW240129C4755")</f>
        <v>167.4</v>
      </c>
      <c r="H111" t="str">
        <f>RTD("tos.rtd", , "BX", ".SPXW240129C4755")</f>
        <v>C</v>
      </c>
      <c r="I111">
        <f>RTD("tos.rtd", , "ASK", ".SPXW240129C4755")</f>
        <v>179.7</v>
      </c>
      <c r="J111" t="str">
        <f>RTD("tos.rtd", , "AX", ".SPXW240129C4755")</f>
        <v>C</v>
      </c>
      <c r="K111" t="str">
        <f>RTD("tos.rtd", , "EXPIRATION_DAY", ".SPXW240129C4755")</f>
        <v>2024-01-29</v>
      </c>
      <c r="L111">
        <f>RTD("tos.rtd", , "STRIKE", ".SPXW240129C4755")</f>
        <v>4755</v>
      </c>
      <c r="M111">
        <f>RTD("tos.rtd", , "BID", ".SPXW240129P4755")</f>
        <v>0</v>
      </c>
      <c r="N111" t="str">
        <f>RTD("tos.rtd", , "BX", ".SPXW240129P4755")</f>
        <v>C</v>
      </c>
      <c r="O111">
        <f>RTD("tos.rtd", , "ASK", ".SPXW240129P4755")</f>
        <v>0.05</v>
      </c>
      <c r="P111" t="str">
        <f>RTD("tos.rtd", , "AX", ".SPXW240129P4755")</f>
        <v>C</v>
      </c>
      <c r="Q111" t="str">
        <f>RTD("tos.rtd", , "VOLUME", ".SPXW240129P4755")</f>
        <v>N/A</v>
      </c>
      <c r="R111">
        <f>RTD("tos.rtd", , "OPEN_INT", ".SPXW240129P4755")</f>
        <v>489</v>
      </c>
      <c r="S111">
        <f>RTD("tos.rtd", , "DELTA", ".SPXW240129P4755")</f>
        <v>0</v>
      </c>
      <c r="T111">
        <f>RTD("tos.rtd", , "GAMMA", ".SPXW240129P4755")</f>
        <v>0</v>
      </c>
    </row>
    <row r="112" spans="3:20" x14ac:dyDescent="0.25">
      <c r="C112" t="str">
        <f>RTD("tos.rtd", , "VOLUME", ".SPXW240129C4760")</f>
        <v>N/A</v>
      </c>
      <c r="D112">
        <f>RTD("tos.rtd", , "OPEN_INT", ".SPXW240129C4760")</f>
        <v>0</v>
      </c>
      <c r="E112">
        <f>RTD("tos.rtd", , "DELTA", ".SPXW240129C4760")</f>
        <v>1</v>
      </c>
      <c r="F112">
        <f>RTD("tos.rtd", , "GAMMA", ".SPXW240129C4760")</f>
        <v>0</v>
      </c>
      <c r="G112">
        <f>RTD("tos.rtd", , "BID", ".SPXW240129C4760")</f>
        <v>162.4</v>
      </c>
      <c r="H112" t="str">
        <f>RTD("tos.rtd", , "BX", ".SPXW240129C4760")</f>
        <v>C</v>
      </c>
      <c r="I112">
        <f>RTD("tos.rtd", , "ASK", ".SPXW240129C4760")</f>
        <v>174.7</v>
      </c>
      <c r="J112" t="str">
        <f>RTD("tos.rtd", , "AX", ".SPXW240129C4760")</f>
        <v>C</v>
      </c>
      <c r="K112" t="str">
        <f>RTD("tos.rtd", , "EXPIRATION_DAY", ".SPXW240129C4760")</f>
        <v>2024-01-29</v>
      </c>
      <c r="L112">
        <f>RTD("tos.rtd", , "STRIKE", ".SPXW240129C4760")</f>
        <v>4760</v>
      </c>
      <c r="M112">
        <f>RTD("tos.rtd", , "BID", ".SPXW240129P4760")</f>
        <v>0</v>
      </c>
      <c r="N112" t="str">
        <f>RTD("tos.rtd", , "BX", ".SPXW240129P4760")</f>
        <v>C</v>
      </c>
      <c r="O112">
        <f>RTD("tos.rtd", , "ASK", ".SPXW240129P4760")</f>
        <v>0.05</v>
      </c>
      <c r="P112" t="str">
        <f>RTD("tos.rtd", , "AX", ".SPXW240129P4760")</f>
        <v>C</v>
      </c>
      <c r="Q112" t="str">
        <f>RTD("tos.rtd", , "VOLUME", ".SPXW240129P4760")</f>
        <v>N/A</v>
      </c>
      <c r="R112">
        <f>RTD("tos.rtd", , "OPEN_INT", ".SPXW240129P4760")</f>
        <v>3274</v>
      </c>
      <c r="S112">
        <f>RTD("tos.rtd", , "DELTA", ".SPXW240129P4760")</f>
        <v>0</v>
      </c>
      <c r="T112">
        <f>RTD("tos.rtd", , "GAMMA", ".SPXW240129P4760")</f>
        <v>0</v>
      </c>
    </row>
    <row r="113" spans="3:20" x14ac:dyDescent="0.25">
      <c r="C113" t="str">
        <f>RTD("tos.rtd", , "VOLUME", ".SPXW240129C4765")</f>
        <v>N/A</v>
      </c>
      <c r="D113">
        <f>RTD("tos.rtd", , "OPEN_INT", ".SPXW240129C4765")</f>
        <v>0</v>
      </c>
      <c r="E113">
        <f>RTD("tos.rtd", , "DELTA", ".SPXW240129C4765")</f>
        <v>1</v>
      </c>
      <c r="F113">
        <f>RTD("tos.rtd", , "GAMMA", ".SPXW240129C4765")</f>
        <v>0</v>
      </c>
      <c r="G113">
        <f>RTD("tos.rtd", , "BID", ".SPXW240129C4765")</f>
        <v>157.4</v>
      </c>
      <c r="H113" t="str">
        <f>RTD("tos.rtd", , "BX", ".SPXW240129C4765")</f>
        <v>C</v>
      </c>
      <c r="I113">
        <f>RTD("tos.rtd", , "ASK", ".SPXW240129C4765")</f>
        <v>169.7</v>
      </c>
      <c r="J113" t="str">
        <f>RTD("tos.rtd", , "AX", ".SPXW240129C4765")</f>
        <v>C</v>
      </c>
      <c r="K113" t="str">
        <f>RTD("tos.rtd", , "EXPIRATION_DAY", ".SPXW240129C4765")</f>
        <v>2024-01-29</v>
      </c>
      <c r="L113">
        <f>RTD("tos.rtd", , "STRIKE", ".SPXW240129C4765")</f>
        <v>4765</v>
      </c>
      <c r="M113">
        <f>RTD("tos.rtd", , "BID", ".SPXW240129P4765")</f>
        <v>0</v>
      </c>
      <c r="N113" t="str">
        <f>RTD("tos.rtd", , "BX", ".SPXW240129P4765")</f>
        <v>C</v>
      </c>
      <c r="O113">
        <f>RTD("tos.rtd", , "ASK", ".SPXW240129P4765")</f>
        <v>0.05</v>
      </c>
      <c r="P113" t="str">
        <f>RTD("tos.rtd", , "AX", ".SPXW240129P4765")</f>
        <v>C</v>
      </c>
      <c r="Q113" t="str">
        <f>RTD("tos.rtd", , "VOLUME", ".SPXW240129P4765")</f>
        <v>N/A</v>
      </c>
      <c r="R113">
        <f>RTD("tos.rtd", , "OPEN_INT", ".SPXW240129P4765")</f>
        <v>1514</v>
      </c>
      <c r="S113">
        <f>RTD("tos.rtd", , "DELTA", ".SPXW240129P4765")</f>
        <v>0</v>
      </c>
      <c r="T113">
        <f>RTD("tos.rtd", , "GAMMA", ".SPXW240129P4765")</f>
        <v>0</v>
      </c>
    </row>
    <row r="114" spans="3:20" x14ac:dyDescent="0.25">
      <c r="C114" t="str">
        <f>RTD("tos.rtd", , "VOLUME", ".SPXW240129C4770")</f>
        <v>N/A</v>
      </c>
      <c r="D114">
        <f>RTD("tos.rtd", , "OPEN_INT", ".SPXW240129C4770")</f>
        <v>0</v>
      </c>
      <c r="E114">
        <f>RTD("tos.rtd", , "DELTA", ".SPXW240129C4770")</f>
        <v>1</v>
      </c>
      <c r="F114">
        <f>RTD("tos.rtd", , "GAMMA", ".SPXW240129C4770")</f>
        <v>0</v>
      </c>
      <c r="G114">
        <f>RTD("tos.rtd", , "BID", ".SPXW240129C4770")</f>
        <v>152.4</v>
      </c>
      <c r="H114" t="str">
        <f>RTD("tos.rtd", , "BX", ".SPXW240129C4770")</f>
        <v>C</v>
      </c>
      <c r="I114">
        <f>RTD("tos.rtd", , "ASK", ".SPXW240129C4770")</f>
        <v>164.7</v>
      </c>
      <c r="J114" t="str">
        <f>RTD("tos.rtd", , "AX", ".SPXW240129C4770")</f>
        <v>C</v>
      </c>
      <c r="K114" t="str">
        <f>RTD("tos.rtd", , "EXPIRATION_DAY", ".SPXW240129C4770")</f>
        <v>2024-01-29</v>
      </c>
      <c r="L114">
        <f>RTD("tos.rtd", , "STRIKE", ".SPXW240129C4770")</f>
        <v>4770</v>
      </c>
      <c r="M114">
        <f>RTD("tos.rtd", , "BID", ".SPXW240129P4770")</f>
        <v>0</v>
      </c>
      <c r="N114" t="str">
        <f>RTD("tos.rtd", , "BX", ".SPXW240129P4770")</f>
        <v>C</v>
      </c>
      <c r="O114">
        <f>RTD("tos.rtd", , "ASK", ".SPXW240129P4770")</f>
        <v>0.05</v>
      </c>
      <c r="P114" t="str">
        <f>RTD("tos.rtd", , "AX", ".SPXW240129P4770")</f>
        <v>C</v>
      </c>
      <c r="Q114" t="str">
        <f>RTD("tos.rtd", , "VOLUME", ".SPXW240129P4770")</f>
        <v>N/A</v>
      </c>
      <c r="R114">
        <f>RTD("tos.rtd", , "OPEN_INT", ".SPXW240129P4770")</f>
        <v>1277</v>
      </c>
      <c r="S114">
        <f>RTD("tos.rtd", , "DELTA", ".SPXW240129P4770")</f>
        <v>0</v>
      </c>
      <c r="T114">
        <f>RTD("tos.rtd", , "GAMMA", ".SPXW240129P4770")</f>
        <v>0</v>
      </c>
    </row>
    <row r="115" spans="3:20" x14ac:dyDescent="0.25">
      <c r="C115" t="str">
        <f>RTD("tos.rtd", , "VOLUME", ".SPXW240129C4775")</f>
        <v>N/A</v>
      </c>
      <c r="D115">
        <f>RTD("tos.rtd", , "OPEN_INT", ".SPXW240129C4775")</f>
        <v>0</v>
      </c>
      <c r="E115">
        <f>RTD("tos.rtd", , "DELTA", ".SPXW240129C4775")</f>
        <v>1</v>
      </c>
      <c r="F115">
        <f>RTD("tos.rtd", , "GAMMA", ".SPXW240129C4775")</f>
        <v>0</v>
      </c>
      <c r="G115">
        <f>RTD("tos.rtd", , "BID", ".SPXW240129C4775")</f>
        <v>147.4</v>
      </c>
      <c r="H115" t="str">
        <f>RTD("tos.rtd", , "BX", ".SPXW240129C4775")</f>
        <v>C</v>
      </c>
      <c r="I115">
        <f>RTD("tos.rtd", , "ASK", ".SPXW240129C4775")</f>
        <v>159.69999999999999</v>
      </c>
      <c r="J115" t="str">
        <f>RTD("tos.rtd", , "AX", ".SPXW240129C4775")</f>
        <v>C</v>
      </c>
      <c r="K115" t="str">
        <f>RTD("tos.rtd", , "EXPIRATION_DAY", ".SPXW240129C4775")</f>
        <v>2024-01-29</v>
      </c>
      <c r="L115">
        <f>RTD("tos.rtd", , "STRIKE", ".SPXW240129C4775")</f>
        <v>4775</v>
      </c>
      <c r="M115">
        <f>RTD("tos.rtd", , "BID", ".SPXW240129P4775")</f>
        <v>0</v>
      </c>
      <c r="N115" t="str">
        <f>RTD("tos.rtd", , "BX", ".SPXW240129P4775")</f>
        <v>C</v>
      </c>
      <c r="O115">
        <f>RTD("tos.rtd", , "ASK", ".SPXW240129P4775")</f>
        <v>0.05</v>
      </c>
      <c r="P115" t="str">
        <f>RTD("tos.rtd", , "AX", ".SPXW240129P4775")</f>
        <v>C</v>
      </c>
      <c r="Q115" t="str">
        <f>RTD("tos.rtd", , "VOLUME", ".SPXW240129P4775")</f>
        <v>N/A</v>
      </c>
      <c r="R115">
        <f>RTD("tos.rtd", , "OPEN_INT", ".SPXW240129P4775")</f>
        <v>6639</v>
      </c>
      <c r="S115">
        <f>RTD("tos.rtd", , "DELTA", ".SPXW240129P4775")</f>
        <v>0</v>
      </c>
      <c r="T115">
        <f>RTD("tos.rtd", , "GAMMA", ".SPXW240129P4775")</f>
        <v>0</v>
      </c>
    </row>
    <row r="116" spans="3:20" x14ac:dyDescent="0.25">
      <c r="C116" t="str">
        <f>RTD("tos.rtd", , "VOLUME", ".SPXW240129C4780")</f>
        <v>N/A</v>
      </c>
      <c r="D116">
        <f>RTD("tos.rtd", , "OPEN_INT", ".SPXW240129C4780")</f>
        <v>0</v>
      </c>
      <c r="E116">
        <f>RTD("tos.rtd", , "DELTA", ".SPXW240129C4780")</f>
        <v>1</v>
      </c>
      <c r="F116">
        <f>RTD("tos.rtd", , "GAMMA", ".SPXW240129C4780")</f>
        <v>0</v>
      </c>
      <c r="G116">
        <f>RTD("tos.rtd", , "BID", ".SPXW240129C4780")</f>
        <v>142.4</v>
      </c>
      <c r="H116" t="str">
        <f>RTD("tos.rtd", , "BX", ".SPXW240129C4780")</f>
        <v>C</v>
      </c>
      <c r="I116">
        <f>RTD("tos.rtd", , "ASK", ".SPXW240129C4780")</f>
        <v>154.69999999999999</v>
      </c>
      <c r="J116" t="str">
        <f>RTD("tos.rtd", , "AX", ".SPXW240129C4780")</f>
        <v>C</v>
      </c>
      <c r="K116" t="str">
        <f>RTD("tos.rtd", , "EXPIRATION_DAY", ".SPXW240129C4780")</f>
        <v>2024-01-29</v>
      </c>
      <c r="L116">
        <f>RTD("tos.rtd", , "STRIKE", ".SPXW240129C4780")</f>
        <v>4780</v>
      </c>
      <c r="M116">
        <f>RTD("tos.rtd", , "BID", ".SPXW240129P4780")</f>
        <v>0</v>
      </c>
      <c r="N116" t="str">
        <f>RTD("tos.rtd", , "BX", ".SPXW240129P4780")</f>
        <v>C</v>
      </c>
      <c r="O116">
        <f>RTD("tos.rtd", , "ASK", ".SPXW240129P4780")</f>
        <v>0.05</v>
      </c>
      <c r="P116" t="str">
        <f>RTD("tos.rtd", , "AX", ".SPXW240129P4780")</f>
        <v>C</v>
      </c>
      <c r="Q116" t="str">
        <f>RTD("tos.rtd", , "VOLUME", ".SPXW240129P4780")</f>
        <v>N/A</v>
      </c>
      <c r="R116">
        <f>RTD("tos.rtd", , "OPEN_INT", ".SPXW240129P4780")</f>
        <v>6159</v>
      </c>
      <c r="S116">
        <f>RTD("tos.rtd", , "DELTA", ".SPXW240129P4780")</f>
        <v>0</v>
      </c>
      <c r="T116">
        <f>RTD("tos.rtd", , "GAMMA", ".SPXW240129P4780")</f>
        <v>0</v>
      </c>
    </row>
    <row r="117" spans="3:20" x14ac:dyDescent="0.25">
      <c r="C117" t="str">
        <f>RTD("tos.rtd", , "VOLUME", ".SPXW240129C4785")</f>
        <v>N/A</v>
      </c>
      <c r="D117">
        <f>RTD("tos.rtd", , "OPEN_INT", ".SPXW240129C4785")</f>
        <v>0</v>
      </c>
      <c r="E117">
        <f>RTD("tos.rtd", , "DELTA", ".SPXW240129C4785")</f>
        <v>1</v>
      </c>
      <c r="F117">
        <f>RTD("tos.rtd", , "GAMMA", ".SPXW240129C4785")</f>
        <v>0</v>
      </c>
      <c r="G117">
        <f>RTD("tos.rtd", , "BID", ".SPXW240129C4785")</f>
        <v>137.4</v>
      </c>
      <c r="H117" t="str">
        <f>RTD("tos.rtd", , "BX", ".SPXW240129C4785")</f>
        <v>C</v>
      </c>
      <c r="I117">
        <f>RTD("tos.rtd", , "ASK", ".SPXW240129C4785")</f>
        <v>149.69999999999999</v>
      </c>
      <c r="J117" t="str">
        <f>RTD("tos.rtd", , "AX", ".SPXW240129C4785")</f>
        <v>C</v>
      </c>
      <c r="K117" t="str">
        <f>RTD("tos.rtd", , "EXPIRATION_DAY", ".SPXW240129C4785")</f>
        <v>2024-01-29</v>
      </c>
      <c r="L117">
        <f>RTD("tos.rtd", , "STRIKE", ".SPXW240129C4785")</f>
        <v>4785</v>
      </c>
      <c r="M117">
        <f>RTD("tos.rtd", , "BID", ".SPXW240129P4785")</f>
        <v>0</v>
      </c>
      <c r="N117" t="str">
        <f>RTD("tos.rtd", , "BX", ".SPXW240129P4785")</f>
        <v>C</v>
      </c>
      <c r="O117">
        <f>RTD("tos.rtd", , "ASK", ".SPXW240129P4785")</f>
        <v>0.05</v>
      </c>
      <c r="P117" t="str">
        <f>RTD("tos.rtd", , "AX", ".SPXW240129P4785")</f>
        <v>C</v>
      </c>
      <c r="Q117" t="str">
        <f>RTD("tos.rtd", , "VOLUME", ".SPXW240129P4785")</f>
        <v>N/A</v>
      </c>
      <c r="R117">
        <f>RTD("tos.rtd", , "OPEN_INT", ".SPXW240129P4785")</f>
        <v>2749</v>
      </c>
      <c r="S117">
        <f>RTD("tos.rtd", , "DELTA", ".SPXW240129P4785")</f>
        <v>0</v>
      </c>
      <c r="T117">
        <f>RTD("tos.rtd", , "GAMMA", ".SPXW240129P4785")</f>
        <v>0</v>
      </c>
    </row>
    <row r="118" spans="3:20" x14ac:dyDescent="0.25">
      <c r="C118" t="str">
        <f>RTD("tos.rtd", , "VOLUME", ".SPXW240129C4790")</f>
        <v>N/A</v>
      </c>
      <c r="D118">
        <f>RTD("tos.rtd", , "OPEN_INT", ".SPXW240129C4790")</f>
        <v>0</v>
      </c>
      <c r="E118">
        <f>RTD("tos.rtd", , "DELTA", ".SPXW240129C4790")</f>
        <v>1</v>
      </c>
      <c r="F118">
        <f>RTD("tos.rtd", , "GAMMA", ".SPXW240129C4790")</f>
        <v>0</v>
      </c>
      <c r="G118">
        <f>RTD("tos.rtd", , "BID", ".SPXW240129C4790")</f>
        <v>132.4</v>
      </c>
      <c r="H118" t="str">
        <f>RTD("tos.rtd", , "BX", ".SPXW240129C4790")</f>
        <v>C</v>
      </c>
      <c r="I118">
        <f>RTD("tos.rtd", , "ASK", ".SPXW240129C4790")</f>
        <v>144.80000000000001</v>
      </c>
      <c r="J118" t="str">
        <f>RTD("tos.rtd", , "AX", ".SPXW240129C4790")</f>
        <v>C</v>
      </c>
      <c r="K118" t="str">
        <f>RTD("tos.rtd", , "EXPIRATION_DAY", ".SPXW240129C4790")</f>
        <v>2024-01-29</v>
      </c>
      <c r="L118">
        <f>RTD("tos.rtd", , "STRIKE", ".SPXW240129C4790")</f>
        <v>4790</v>
      </c>
      <c r="M118">
        <f>RTD("tos.rtd", , "BID", ".SPXW240129P4790")</f>
        <v>0</v>
      </c>
      <c r="N118" t="str">
        <f>RTD("tos.rtd", , "BX", ".SPXW240129P4790")</f>
        <v>C</v>
      </c>
      <c r="O118">
        <f>RTD("tos.rtd", , "ASK", ".SPXW240129P4790")</f>
        <v>0.05</v>
      </c>
      <c r="P118" t="str">
        <f>RTD("tos.rtd", , "AX", ".SPXW240129P4790")</f>
        <v>C</v>
      </c>
      <c r="Q118" t="str">
        <f>RTD("tos.rtd", , "VOLUME", ".SPXW240129P4790")</f>
        <v>N/A</v>
      </c>
      <c r="R118">
        <f>RTD("tos.rtd", , "OPEN_INT", ".SPXW240129P4790")</f>
        <v>2512</v>
      </c>
      <c r="S118">
        <f>RTD("tos.rtd", , "DELTA", ".SPXW240129P4790")</f>
        <v>0</v>
      </c>
      <c r="T118">
        <f>RTD("tos.rtd", , "GAMMA", ".SPXW240129P4790")</f>
        <v>0</v>
      </c>
    </row>
    <row r="119" spans="3:20" x14ac:dyDescent="0.25">
      <c r="C119" t="str">
        <f>RTD("tos.rtd", , "VOLUME", ".SPXW240129C4795")</f>
        <v>N/A</v>
      </c>
      <c r="D119">
        <f>RTD("tos.rtd", , "OPEN_INT", ".SPXW240129C4795")</f>
        <v>0</v>
      </c>
      <c r="E119">
        <f>RTD("tos.rtd", , "DELTA", ".SPXW240129C4795")</f>
        <v>1</v>
      </c>
      <c r="F119">
        <f>RTD("tos.rtd", , "GAMMA", ".SPXW240129C4795")</f>
        <v>0</v>
      </c>
      <c r="G119">
        <f>RTD("tos.rtd", , "BID", ".SPXW240129C4795")</f>
        <v>127.4</v>
      </c>
      <c r="H119" t="str">
        <f>RTD("tos.rtd", , "BX", ".SPXW240129C4795")</f>
        <v>C</v>
      </c>
      <c r="I119">
        <f>RTD("tos.rtd", , "ASK", ".SPXW240129C4795")</f>
        <v>139.80000000000001</v>
      </c>
      <c r="J119" t="str">
        <f>RTD("tos.rtd", , "AX", ".SPXW240129C4795")</f>
        <v>C</v>
      </c>
      <c r="K119" t="str">
        <f>RTD("tos.rtd", , "EXPIRATION_DAY", ".SPXW240129C4795")</f>
        <v>2024-01-29</v>
      </c>
      <c r="L119">
        <f>RTD("tos.rtd", , "STRIKE", ".SPXW240129C4795")</f>
        <v>4795</v>
      </c>
      <c r="M119">
        <f>RTD("tos.rtd", , "BID", ".SPXW240129P4795")</f>
        <v>0</v>
      </c>
      <c r="N119" t="str">
        <f>RTD("tos.rtd", , "BX", ".SPXW240129P4795")</f>
        <v>C</v>
      </c>
      <c r="O119">
        <f>RTD("tos.rtd", , "ASK", ".SPXW240129P4795")</f>
        <v>0.05</v>
      </c>
      <c r="P119" t="str">
        <f>RTD("tos.rtd", , "AX", ".SPXW240129P4795")</f>
        <v>C</v>
      </c>
      <c r="Q119" t="str">
        <f>RTD("tos.rtd", , "VOLUME", ".SPXW240129P4795")</f>
        <v>N/A</v>
      </c>
      <c r="R119">
        <f>RTD("tos.rtd", , "OPEN_INT", ".SPXW240129P4795")</f>
        <v>2209</v>
      </c>
      <c r="S119">
        <f>RTD("tos.rtd", , "DELTA", ".SPXW240129P4795")</f>
        <v>0</v>
      </c>
      <c r="T119">
        <f>RTD("tos.rtd", , "GAMMA", ".SPXW240129P4795")</f>
        <v>0</v>
      </c>
    </row>
    <row r="120" spans="3:20" x14ac:dyDescent="0.25">
      <c r="C120" t="str">
        <f>RTD("tos.rtd", , "VOLUME", ".SPXW240129C4800")</f>
        <v>N/A</v>
      </c>
      <c r="D120">
        <f>RTD("tos.rtd", , "OPEN_INT", ".SPXW240129C4800")</f>
        <v>0</v>
      </c>
      <c r="E120">
        <f>RTD("tos.rtd", , "DELTA", ".SPXW240129C4800")</f>
        <v>1</v>
      </c>
      <c r="F120">
        <f>RTD("tos.rtd", , "GAMMA", ".SPXW240129C4800")</f>
        <v>0</v>
      </c>
      <c r="G120">
        <f>RTD("tos.rtd", , "BID", ".SPXW240129C4800")</f>
        <v>122.3</v>
      </c>
      <c r="H120" t="str">
        <f>RTD("tos.rtd", , "BX", ".SPXW240129C4800")</f>
        <v>C</v>
      </c>
      <c r="I120">
        <f>RTD("tos.rtd", , "ASK", ".SPXW240129C4800")</f>
        <v>134.80000000000001</v>
      </c>
      <c r="J120" t="str">
        <f>RTD("tos.rtd", , "AX", ".SPXW240129C4800")</f>
        <v>C</v>
      </c>
      <c r="K120" t="str">
        <f>RTD("tos.rtd", , "EXPIRATION_DAY", ".SPXW240129C4800")</f>
        <v>2024-01-29</v>
      </c>
      <c r="L120">
        <f>RTD("tos.rtd", , "STRIKE", ".SPXW240129C4800")</f>
        <v>4800</v>
      </c>
      <c r="M120">
        <f>RTD("tos.rtd", , "BID", ".SPXW240129P4800")</f>
        <v>0</v>
      </c>
      <c r="N120" t="str">
        <f>RTD("tos.rtd", , "BX", ".SPXW240129P4800")</f>
        <v>C</v>
      </c>
      <c r="O120">
        <f>RTD("tos.rtd", , "ASK", ".SPXW240129P4800")</f>
        <v>0.05</v>
      </c>
      <c r="P120" t="str">
        <f>RTD("tos.rtd", , "AX", ".SPXW240129P4800")</f>
        <v>C</v>
      </c>
      <c r="Q120" t="str">
        <f>RTD("tos.rtd", , "VOLUME", ".SPXW240129P4800")</f>
        <v>N/A</v>
      </c>
      <c r="R120">
        <f>RTD("tos.rtd", , "OPEN_INT", ".SPXW240129P4800")</f>
        <v>6832</v>
      </c>
      <c r="S120">
        <f>RTD("tos.rtd", , "DELTA", ".SPXW240129P4800")</f>
        <v>0</v>
      </c>
      <c r="T120">
        <f>RTD("tos.rtd", , "GAMMA", ".SPXW240129P4800")</f>
        <v>0</v>
      </c>
    </row>
    <row r="121" spans="3:20" x14ac:dyDescent="0.25">
      <c r="C121" t="str">
        <f>RTD("tos.rtd", , "VOLUME", ".SPXW240129C4805")</f>
        <v>N/A</v>
      </c>
      <c r="D121">
        <f>RTD("tos.rtd", , "OPEN_INT", ".SPXW240129C4805")</f>
        <v>0</v>
      </c>
      <c r="E121">
        <f>RTD("tos.rtd", , "DELTA", ".SPXW240129C4805")</f>
        <v>1</v>
      </c>
      <c r="F121">
        <f>RTD("tos.rtd", , "GAMMA", ".SPXW240129C4805")</f>
        <v>0</v>
      </c>
      <c r="G121">
        <f>RTD("tos.rtd", , "BID", ".SPXW240129C4805")</f>
        <v>117.3</v>
      </c>
      <c r="H121" t="str">
        <f>RTD("tos.rtd", , "BX", ".SPXW240129C4805")</f>
        <v>C</v>
      </c>
      <c r="I121">
        <f>RTD("tos.rtd", , "ASK", ".SPXW240129C4805")</f>
        <v>129.80000000000001</v>
      </c>
      <c r="J121" t="str">
        <f>RTD("tos.rtd", , "AX", ".SPXW240129C4805")</f>
        <v>C</v>
      </c>
      <c r="K121" t="str">
        <f>RTD("tos.rtd", , "EXPIRATION_DAY", ".SPXW240129C4805")</f>
        <v>2024-01-29</v>
      </c>
      <c r="L121">
        <f>RTD("tos.rtd", , "STRIKE", ".SPXW240129C4805")</f>
        <v>4805</v>
      </c>
      <c r="M121">
        <f>RTD("tos.rtd", , "BID", ".SPXW240129P4805")</f>
        <v>0</v>
      </c>
      <c r="N121" t="str">
        <f>RTD("tos.rtd", , "BX", ".SPXW240129P4805")</f>
        <v>C</v>
      </c>
      <c r="O121">
        <f>RTD("tos.rtd", , "ASK", ".SPXW240129P4805")</f>
        <v>0.05</v>
      </c>
      <c r="P121" t="str">
        <f>RTD("tos.rtd", , "AX", ".SPXW240129P4805")</f>
        <v>C</v>
      </c>
      <c r="Q121" t="str">
        <f>RTD("tos.rtd", , "VOLUME", ".SPXW240129P4805")</f>
        <v>N/A</v>
      </c>
      <c r="R121">
        <f>RTD("tos.rtd", , "OPEN_INT", ".SPXW240129P4805")</f>
        <v>6155</v>
      </c>
      <c r="S121">
        <f>RTD("tos.rtd", , "DELTA", ".SPXW240129P4805")</f>
        <v>0</v>
      </c>
      <c r="T121">
        <f>RTD("tos.rtd", , "GAMMA", ".SPXW240129P4805")</f>
        <v>0</v>
      </c>
    </row>
    <row r="122" spans="3:20" x14ac:dyDescent="0.25">
      <c r="C122" t="str">
        <f>RTD("tos.rtd", , "VOLUME", ".SPXW240129C4810")</f>
        <v>N/A</v>
      </c>
      <c r="D122">
        <f>RTD("tos.rtd", , "OPEN_INT", ".SPXW240129C4810")</f>
        <v>0</v>
      </c>
      <c r="E122">
        <f>RTD("tos.rtd", , "DELTA", ".SPXW240129C4810")</f>
        <v>1</v>
      </c>
      <c r="F122">
        <f>RTD("tos.rtd", , "GAMMA", ".SPXW240129C4810")</f>
        <v>0</v>
      </c>
      <c r="G122">
        <f>RTD("tos.rtd", , "BID", ".SPXW240129C4810")</f>
        <v>112.6</v>
      </c>
      <c r="H122" t="str">
        <f>RTD("tos.rtd", , "BX", ".SPXW240129C4810")</f>
        <v>C</v>
      </c>
      <c r="I122">
        <f>RTD("tos.rtd", , "ASK", ".SPXW240129C4810")</f>
        <v>124.3</v>
      </c>
      <c r="J122" t="str">
        <f>RTD("tos.rtd", , "AX", ".SPXW240129C4810")</f>
        <v>C</v>
      </c>
      <c r="K122" t="str">
        <f>RTD("tos.rtd", , "EXPIRATION_DAY", ".SPXW240129C4810")</f>
        <v>2024-01-29</v>
      </c>
      <c r="L122">
        <f>RTD("tos.rtd", , "STRIKE", ".SPXW240129C4810")</f>
        <v>4810</v>
      </c>
      <c r="M122">
        <f>RTD("tos.rtd", , "BID", ".SPXW240129P4810")</f>
        <v>0</v>
      </c>
      <c r="N122" t="str">
        <f>RTD("tos.rtd", , "BX", ".SPXW240129P4810")</f>
        <v>C</v>
      </c>
      <c r="O122">
        <f>RTD("tos.rtd", , "ASK", ".SPXW240129P4810")</f>
        <v>0.05</v>
      </c>
      <c r="P122" t="str">
        <f>RTD("tos.rtd", , "AX", ".SPXW240129P4810")</f>
        <v>C</v>
      </c>
      <c r="Q122" t="str">
        <f>RTD("tos.rtd", , "VOLUME", ".SPXW240129P4810")</f>
        <v>N/A</v>
      </c>
      <c r="R122">
        <f>RTD("tos.rtd", , "OPEN_INT", ".SPXW240129P4810")</f>
        <v>2933</v>
      </c>
      <c r="S122">
        <f>RTD("tos.rtd", , "DELTA", ".SPXW240129P4810")</f>
        <v>0</v>
      </c>
      <c r="T122">
        <f>RTD("tos.rtd", , "GAMMA", ".SPXW240129P4810")</f>
        <v>0</v>
      </c>
    </row>
    <row r="123" spans="3:20" x14ac:dyDescent="0.25">
      <c r="C123" t="str">
        <f>RTD("tos.rtd", , "VOLUME", ".SPXW240129C4815")</f>
        <v>N/A</v>
      </c>
      <c r="D123">
        <f>RTD("tos.rtd", , "OPEN_INT", ".SPXW240129C4815")</f>
        <v>0</v>
      </c>
      <c r="E123">
        <f>RTD("tos.rtd", , "DELTA", ".SPXW240129C4815")</f>
        <v>1</v>
      </c>
      <c r="F123">
        <f>RTD("tos.rtd", , "GAMMA", ".SPXW240129C4815")</f>
        <v>0</v>
      </c>
      <c r="G123">
        <f>RTD("tos.rtd", , "BID", ".SPXW240129C4815")</f>
        <v>107.3</v>
      </c>
      <c r="H123" t="str">
        <f>RTD("tos.rtd", , "BX", ".SPXW240129C4815")</f>
        <v>C</v>
      </c>
      <c r="I123">
        <f>RTD("tos.rtd", , "ASK", ".SPXW240129C4815")</f>
        <v>119.3</v>
      </c>
      <c r="J123" t="str">
        <f>RTD("tos.rtd", , "AX", ".SPXW240129C4815")</f>
        <v>C</v>
      </c>
      <c r="K123" t="str">
        <f>RTD("tos.rtd", , "EXPIRATION_DAY", ".SPXW240129C4815")</f>
        <v>2024-01-29</v>
      </c>
      <c r="L123">
        <f>RTD("tos.rtd", , "STRIKE", ".SPXW240129C4815")</f>
        <v>4815</v>
      </c>
      <c r="M123">
        <f>RTD("tos.rtd", , "BID", ".SPXW240129P4815")</f>
        <v>0</v>
      </c>
      <c r="N123" t="str">
        <f>RTD("tos.rtd", , "BX", ".SPXW240129P4815")</f>
        <v>C</v>
      </c>
      <c r="O123">
        <f>RTD("tos.rtd", , "ASK", ".SPXW240129P4815")</f>
        <v>0.05</v>
      </c>
      <c r="P123" t="str">
        <f>RTD("tos.rtd", , "AX", ".SPXW240129P4815")</f>
        <v>C</v>
      </c>
      <c r="Q123" t="str">
        <f>RTD("tos.rtd", , "VOLUME", ".SPXW240129P4815")</f>
        <v>N/A</v>
      </c>
      <c r="R123">
        <f>RTD("tos.rtd", , "OPEN_INT", ".SPXW240129P4815")</f>
        <v>5547</v>
      </c>
      <c r="S123">
        <f>RTD("tos.rtd", , "DELTA", ".SPXW240129P4815")</f>
        <v>0</v>
      </c>
      <c r="T123">
        <f>RTD("tos.rtd", , "GAMMA", ".SPXW240129P4815")</f>
        <v>0</v>
      </c>
    </row>
    <row r="124" spans="3:20" x14ac:dyDescent="0.25">
      <c r="C124" t="str">
        <f>RTD("tos.rtd", , "VOLUME", ".SPXW240129C4820")</f>
        <v>N/A</v>
      </c>
      <c r="D124">
        <f>RTD("tos.rtd", , "OPEN_INT", ".SPXW240129C4820")</f>
        <v>0</v>
      </c>
      <c r="E124">
        <f>RTD("tos.rtd", , "DELTA", ".SPXW240129C4820")</f>
        <v>1</v>
      </c>
      <c r="F124">
        <f>RTD("tos.rtd", , "GAMMA", ".SPXW240129C4820")</f>
        <v>0</v>
      </c>
      <c r="G124">
        <f>RTD("tos.rtd", , "BID", ".SPXW240129C4820")</f>
        <v>106.2</v>
      </c>
      <c r="H124" t="str">
        <f>RTD("tos.rtd", , "BX", ".SPXW240129C4820")</f>
        <v>C</v>
      </c>
      <c r="I124">
        <f>RTD("tos.rtd", , "ASK", ".SPXW240129C4820")</f>
        <v>111.6</v>
      </c>
      <c r="J124" t="str">
        <f>RTD("tos.rtd", , "AX", ".SPXW240129C4820")</f>
        <v>C</v>
      </c>
      <c r="K124" t="str">
        <f>RTD("tos.rtd", , "EXPIRATION_DAY", ".SPXW240129C4820")</f>
        <v>2024-01-29</v>
      </c>
      <c r="L124">
        <f>RTD("tos.rtd", , "STRIKE", ".SPXW240129C4820")</f>
        <v>4820</v>
      </c>
      <c r="M124">
        <f>RTD("tos.rtd", , "BID", ".SPXW240129P4820")</f>
        <v>0</v>
      </c>
      <c r="N124" t="str">
        <f>RTD("tos.rtd", , "BX", ".SPXW240129P4820")</f>
        <v>C</v>
      </c>
      <c r="O124">
        <f>RTD("tos.rtd", , "ASK", ".SPXW240129P4820")</f>
        <v>0.05</v>
      </c>
      <c r="P124" t="str">
        <f>RTD("tos.rtd", , "AX", ".SPXW240129P4820")</f>
        <v>C</v>
      </c>
      <c r="Q124" t="str">
        <f>RTD("tos.rtd", , "VOLUME", ".SPXW240129P4820")</f>
        <v>N/A</v>
      </c>
      <c r="R124">
        <f>RTD("tos.rtd", , "OPEN_INT", ".SPXW240129P4820")</f>
        <v>4769</v>
      </c>
      <c r="S124">
        <f>RTD("tos.rtd", , "DELTA", ".SPXW240129P4820")</f>
        <v>0</v>
      </c>
      <c r="T124">
        <f>RTD("tos.rtd", , "GAMMA", ".SPXW240129P4820")</f>
        <v>0</v>
      </c>
    </row>
    <row r="125" spans="3:20" x14ac:dyDescent="0.25">
      <c r="C125" t="str">
        <f>RTD("tos.rtd", , "VOLUME", ".SPXW240129C4825")</f>
        <v>N/A</v>
      </c>
      <c r="D125">
        <f>RTD("tos.rtd", , "OPEN_INT", ".SPXW240129C4825")</f>
        <v>0</v>
      </c>
      <c r="E125">
        <f>RTD("tos.rtd", , "DELTA", ".SPXW240129C4825")</f>
        <v>1</v>
      </c>
      <c r="F125">
        <f>RTD("tos.rtd", , "GAMMA", ".SPXW240129C4825")</f>
        <v>0</v>
      </c>
      <c r="G125">
        <f>RTD("tos.rtd", , "BID", ".SPXW240129C4825")</f>
        <v>99.9</v>
      </c>
      <c r="H125" t="str">
        <f>RTD("tos.rtd", , "BX", ".SPXW240129C4825")</f>
        <v>C</v>
      </c>
      <c r="I125">
        <f>RTD("tos.rtd", , "ASK", ".SPXW240129C4825")</f>
        <v>106.4</v>
      </c>
      <c r="J125" t="str">
        <f>RTD("tos.rtd", , "AX", ".SPXW240129C4825")</f>
        <v>C</v>
      </c>
      <c r="K125" t="str">
        <f>RTD("tos.rtd", , "EXPIRATION_DAY", ".SPXW240129C4825")</f>
        <v>2024-01-29</v>
      </c>
      <c r="L125">
        <f>RTD("tos.rtd", , "STRIKE", ".SPXW240129C4825")</f>
        <v>4825</v>
      </c>
      <c r="M125">
        <f>RTD("tos.rtd", , "BID", ".SPXW240129P4825")</f>
        <v>0</v>
      </c>
      <c r="N125" t="str">
        <f>RTD("tos.rtd", , "BX", ".SPXW240129P4825")</f>
        <v>C</v>
      </c>
      <c r="O125">
        <f>RTD("tos.rtd", , "ASK", ".SPXW240129P4825")</f>
        <v>0.05</v>
      </c>
      <c r="P125" t="str">
        <f>RTD("tos.rtd", , "AX", ".SPXW240129P4825")</f>
        <v>C</v>
      </c>
      <c r="Q125" t="str">
        <f>RTD("tos.rtd", , "VOLUME", ".SPXW240129P4825")</f>
        <v>N/A</v>
      </c>
      <c r="R125">
        <f>RTD("tos.rtd", , "OPEN_INT", ".SPXW240129P4825")</f>
        <v>6276</v>
      </c>
      <c r="S125">
        <f>RTD("tos.rtd", , "DELTA", ".SPXW240129P4825")</f>
        <v>0</v>
      </c>
      <c r="T125">
        <f>RTD("tos.rtd", , "GAMMA", ".SPXW240129P4825")</f>
        <v>0</v>
      </c>
    </row>
    <row r="126" spans="3:20" x14ac:dyDescent="0.25">
      <c r="C126" t="str">
        <f>RTD("tos.rtd", , "VOLUME", ".SPXW240129C4830")</f>
        <v>N/A</v>
      </c>
      <c r="D126">
        <f>RTD("tos.rtd", , "OPEN_INT", ".SPXW240129C4830")</f>
        <v>0</v>
      </c>
      <c r="E126">
        <f>RTD("tos.rtd", , "DELTA", ".SPXW240129C4830")</f>
        <v>1</v>
      </c>
      <c r="F126">
        <f>RTD("tos.rtd", , "GAMMA", ".SPXW240129C4830")</f>
        <v>0</v>
      </c>
      <c r="G126">
        <f>RTD("tos.rtd", , "BID", ".SPXW240129C4830")</f>
        <v>94.9</v>
      </c>
      <c r="H126" t="str">
        <f>RTD("tos.rtd", , "BX", ".SPXW240129C4830")</f>
        <v>C</v>
      </c>
      <c r="I126">
        <f>RTD("tos.rtd", , "ASK", ".SPXW240129C4830")</f>
        <v>101.4</v>
      </c>
      <c r="J126" t="str">
        <f>RTD("tos.rtd", , "AX", ".SPXW240129C4830")</f>
        <v>C</v>
      </c>
      <c r="K126" t="str">
        <f>RTD("tos.rtd", , "EXPIRATION_DAY", ".SPXW240129C4830")</f>
        <v>2024-01-29</v>
      </c>
      <c r="L126">
        <f>RTD("tos.rtd", , "STRIKE", ".SPXW240129C4830")</f>
        <v>4830</v>
      </c>
      <c r="M126">
        <f>RTD("tos.rtd", , "BID", ".SPXW240129P4830")</f>
        <v>0</v>
      </c>
      <c r="N126" t="str">
        <f>RTD("tos.rtd", , "BX", ".SPXW240129P4830")</f>
        <v>C</v>
      </c>
      <c r="O126">
        <f>RTD("tos.rtd", , "ASK", ".SPXW240129P4830")</f>
        <v>0.05</v>
      </c>
      <c r="P126" t="str">
        <f>RTD("tos.rtd", , "AX", ".SPXW240129P4830")</f>
        <v>C</v>
      </c>
      <c r="Q126" t="str">
        <f>RTD("tos.rtd", , "VOLUME", ".SPXW240129P4830")</f>
        <v>N/A</v>
      </c>
      <c r="R126">
        <f>RTD("tos.rtd", , "OPEN_INT", ".SPXW240129P4830")</f>
        <v>6657</v>
      </c>
      <c r="S126">
        <f>RTD("tos.rtd", , "DELTA", ".SPXW240129P4830")</f>
        <v>0</v>
      </c>
      <c r="T126">
        <f>RTD("tos.rtd", , "GAMMA", ".SPXW240129P4830")</f>
        <v>0</v>
      </c>
    </row>
    <row r="127" spans="3:20" x14ac:dyDescent="0.25">
      <c r="C127" t="str">
        <f>RTD("tos.rtd", , "VOLUME", ".SPXW240129C4835")</f>
        <v>N/A</v>
      </c>
      <c r="D127">
        <f>RTD("tos.rtd", , "OPEN_INT", ".SPXW240129C4835")</f>
        <v>0</v>
      </c>
      <c r="E127">
        <f>RTD("tos.rtd", , "DELTA", ".SPXW240129C4835")</f>
        <v>1</v>
      </c>
      <c r="F127">
        <f>RTD("tos.rtd", , "GAMMA", ".SPXW240129C4835")</f>
        <v>0</v>
      </c>
      <c r="G127">
        <f>RTD("tos.rtd", , "BID", ".SPXW240129C4835")</f>
        <v>90.1</v>
      </c>
      <c r="H127" t="str">
        <f>RTD("tos.rtd", , "BX", ".SPXW240129C4835")</f>
        <v>C</v>
      </c>
      <c r="I127">
        <f>RTD("tos.rtd", , "ASK", ".SPXW240129C4835")</f>
        <v>96.4</v>
      </c>
      <c r="J127" t="str">
        <f>RTD("tos.rtd", , "AX", ".SPXW240129C4835")</f>
        <v>C</v>
      </c>
      <c r="K127" t="str">
        <f>RTD("tos.rtd", , "EXPIRATION_DAY", ".SPXW240129C4835")</f>
        <v>2024-01-29</v>
      </c>
      <c r="L127">
        <f>RTD("tos.rtd", , "STRIKE", ".SPXW240129C4835")</f>
        <v>4835</v>
      </c>
      <c r="M127">
        <f>RTD("tos.rtd", , "BID", ".SPXW240129P4835")</f>
        <v>0</v>
      </c>
      <c r="N127" t="str">
        <f>RTD("tos.rtd", , "BX", ".SPXW240129P4835")</f>
        <v>C</v>
      </c>
      <c r="O127">
        <f>RTD("tos.rtd", , "ASK", ".SPXW240129P4835")</f>
        <v>0.05</v>
      </c>
      <c r="P127" t="str">
        <f>RTD("tos.rtd", , "AX", ".SPXW240129P4835")</f>
        <v>C</v>
      </c>
      <c r="Q127" t="str">
        <f>RTD("tos.rtd", , "VOLUME", ".SPXW240129P4835")</f>
        <v>N/A</v>
      </c>
      <c r="R127">
        <f>RTD("tos.rtd", , "OPEN_INT", ".SPXW240129P4835")</f>
        <v>6913</v>
      </c>
      <c r="S127">
        <f>RTD("tos.rtd", , "DELTA", ".SPXW240129P4835")</f>
        <v>0</v>
      </c>
      <c r="T127">
        <f>RTD("tos.rtd", , "GAMMA", ".SPXW240129P4835")</f>
        <v>0</v>
      </c>
    </row>
    <row r="128" spans="3:20" x14ac:dyDescent="0.25">
      <c r="C128" t="str">
        <f>RTD("tos.rtd", , "VOLUME", ".SPXW240129C4840")</f>
        <v>N/A</v>
      </c>
      <c r="D128">
        <f>RTD("tos.rtd", , "OPEN_INT", ".SPXW240129C4840")</f>
        <v>0</v>
      </c>
      <c r="E128">
        <f>RTD("tos.rtd", , "DELTA", ".SPXW240129C4840")</f>
        <v>1</v>
      </c>
      <c r="F128">
        <f>RTD("tos.rtd", , "GAMMA", ".SPXW240129C4840")</f>
        <v>0</v>
      </c>
      <c r="G128">
        <f>RTD("tos.rtd", , "BID", ".SPXW240129C4840")</f>
        <v>85.1</v>
      </c>
      <c r="H128" t="str">
        <f>RTD("tos.rtd", , "BX", ".SPXW240129C4840")</f>
        <v>C</v>
      </c>
      <c r="I128">
        <f>RTD("tos.rtd", , "ASK", ".SPXW240129C4840")</f>
        <v>91.4</v>
      </c>
      <c r="J128" t="str">
        <f>RTD("tos.rtd", , "AX", ".SPXW240129C4840")</f>
        <v>C</v>
      </c>
      <c r="K128" t="str">
        <f>RTD("tos.rtd", , "EXPIRATION_DAY", ".SPXW240129C4840")</f>
        <v>2024-01-29</v>
      </c>
      <c r="L128">
        <f>RTD("tos.rtd", , "STRIKE", ".SPXW240129C4840")</f>
        <v>4840</v>
      </c>
      <c r="M128">
        <f>RTD("tos.rtd", , "BID", ".SPXW240129P4840")</f>
        <v>0</v>
      </c>
      <c r="N128" t="str">
        <f>RTD("tos.rtd", , "BX", ".SPXW240129P4840")</f>
        <v>C</v>
      </c>
      <c r="O128">
        <f>RTD("tos.rtd", , "ASK", ".SPXW240129P4840")</f>
        <v>0.05</v>
      </c>
      <c r="P128" t="str">
        <f>RTD("tos.rtd", , "AX", ".SPXW240129P4840")</f>
        <v>C</v>
      </c>
      <c r="Q128" t="str">
        <f>RTD("tos.rtd", , "VOLUME", ".SPXW240129P4840")</f>
        <v>N/A</v>
      </c>
      <c r="R128">
        <f>RTD("tos.rtd", , "OPEN_INT", ".SPXW240129P4840")</f>
        <v>10505</v>
      </c>
      <c r="S128">
        <f>RTD("tos.rtd", , "DELTA", ".SPXW240129P4840")</f>
        <v>0</v>
      </c>
      <c r="T128">
        <f>RTD("tos.rtd", , "GAMMA", ".SPXW240129P4840")</f>
        <v>0</v>
      </c>
    </row>
    <row r="129" spans="3:20" x14ac:dyDescent="0.25">
      <c r="C129" t="str">
        <f>RTD("tos.rtd", , "VOLUME", ".SPXW240129C4845")</f>
        <v>N/A</v>
      </c>
      <c r="D129">
        <f>RTD("tos.rtd", , "OPEN_INT", ".SPXW240129C4845")</f>
        <v>0</v>
      </c>
      <c r="E129">
        <f>RTD("tos.rtd", , "DELTA", ".SPXW240129C4845")</f>
        <v>1</v>
      </c>
      <c r="F129">
        <f>RTD("tos.rtd", , "GAMMA", ".SPXW240129C4845")</f>
        <v>0</v>
      </c>
      <c r="G129">
        <f>RTD("tos.rtd", , "BID", ".SPXW240129C4845")</f>
        <v>80.099999999999994</v>
      </c>
      <c r="H129" t="str">
        <f>RTD("tos.rtd", , "BX", ".SPXW240129C4845")</f>
        <v>C</v>
      </c>
      <c r="I129">
        <f>RTD("tos.rtd", , "ASK", ".SPXW240129C4845")</f>
        <v>86.4</v>
      </c>
      <c r="J129" t="str">
        <f>RTD("tos.rtd", , "AX", ".SPXW240129C4845")</f>
        <v>C</v>
      </c>
      <c r="K129" t="str">
        <f>RTD("tos.rtd", , "EXPIRATION_DAY", ".SPXW240129C4845")</f>
        <v>2024-01-29</v>
      </c>
      <c r="L129">
        <f>RTD("tos.rtd", , "STRIKE", ".SPXW240129C4845")</f>
        <v>4845</v>
      </c>
      <c r="M129">
        <f>RTD("tos.rtd", , "BID", ".SPXW240129P4845")</f>
        <v>0</v>
      </c>
      <c r="N129" t="str">
        <f>RTD("tos.rtd", , "BX", ".SPXW240129P4845")</f>
        <v>C</v>
      </c>
      <c r="O129">
        <f>RTD("tos.rtd", , "ASK", ".SPXW240129P4845")</f>
        <v>0.05</v>
      </c>
      <c r="P129" t="str">
        <f>RTD("tos.rtd", , "AX", ".SPXW240129P4845")</f>
        <v>C</v>
      </c>
      <c r="Q129" t="str">
        <f>RTD("tos.rtd", , "VOLUME", ".SPXW240129P4845")</f>
        <v>N/A</v>
      </c>
      <c r="R129">
        <f>RTD("tos.rtd", , "OPEN_INT", ".SPXW240129P4845")</f>
        <v>14364</v>
      </c>
      <c r="S129">
        <f>RTD("tos.rtd", , "DELTA", ".SPXW240129P4845")</f>
        <v>0</v>
      </c>
      <c r="T129">
        <f>RTD("tos.rtd", , "GAMMA", ".SPXW240129P4845")</f>
        <v>0</v>
      </c>
    </row>
    <row r="130" spans="3:20" x14ac:dyDescent="0.25">
      <c r="C130" t="str">
        <f>RTD("tos.rtd", , "VOLUME", ".SPXW240129C4850")</f>
        <v>N/A</v>
      </c>
      <c r="D130">
        <f>RTD("tos.rtd", , "OPEN_INT", ".SPXW240129C4850")</f>
        <v>0</v>
      </c>
      <c r="E130">
        <f>RTD("tos.rtd", , "DELTA", ".SPXW240129C4850")</f>
        <v>1</v>
      </c>
      <c r="F130">
        <f>RTD("tos.rtd", , "GAMMA", ".SPXW240129C4850")</f>
        <v>0</v>
      </c>
      <c r="G130">
        <f>RTD("tos.rtd", , "BID", ".SPXW240129C4850")</f>
        <v>75.099999999999994</v>
      </c>
      <c r="H130" t="str">
        <f>RTD("tos.rtd", , "BX", ".SPXW240129C4850")</f>
        <v>C</v>
      </c>
      <c r="I130">
        <f>RTD("tos.rtd", , "ASK", ".SPXW240129C4850")</f>
        <v>81.400000000000006</v>
      </c>
      <c r="J130" t="str">
        <f>RTD("tos.rtd", , "AX", ".SPXW240129C4850")</f>
        <v>C</v>
      </c>
      <c r="K130" t="str">
        <f>RTD("tos.rtd", , "EXPIRATION_DAY", ".SPXW240129C4850")</f>
        <v>2024-01-29</v>
      </c>
      <c r="L130">
        <f>RTD("tos.rtd", , "STRIKE", ".SPXW240129C4850")</f>
        <v>4850</v>
      </c>
      <c r="M130">
        <f>RTD("tos.rtd", , "BID", ".SPXW240129P4850")</f>
        <v>0</v>
      </c>
      <c r="N130" t="str">
        <f>RTD("tos.rtd", , "BX", ".SPXW240129P4850")</f>
        <v>C</v>
      </c>
      <c r="O130">
        <f>RTD("tos.rtd", , "ASK", ".SPXW240129P4850")</f>
        <v>0.05</v>
      </c>
      <c r="P130" t="str">
        <f>RTD("tos.rtd", , "AX", ".SPXW240129P4850")</f>
        <v>C</v>
      </c>
      <c r="Q130" t="str">
        <f>RTD("tos.rtd", , "VOLUME", ".SPXW240129P4850")</f>
        <v>N/A</v>
      </c>
      <c r="R130">
        <f>RTD("tos.rtd", , "OPEN_INT", ".SPXW240129P4850")</f>
        <v>10512</v>
      </c>
      <c r="S130">
        <f>RTD("tos.rtd", , "DELTA", ".SPXW240129P4850")</f>
        <v>0</v>
      </c>
      <c r="T130">
        <f>RTD("tos.rtd", , "GAMMA", ".SPXW240129P4850")</f>
        <v>0</v>
      </c>
    </row>
    <row r="131" spans="3:20" x14ac:dyDescent="0.25">
      <c r="C131" t="str">
        <f>RTD("tos.rtd", , "VOLUME", ".SPXW240129C4855")</f>
        <v>N/A</v>
      </c>
      <c r="D131">
        <f>RTD("tos.rtd", , "OPEN_INT", ".SPXW240129C4855")</f>
        <v>0</v>
      </c>
      <c r="E131">
        <f>RTD("tos.rtd", , "DELTA", ".SPXW240129C4855")</f>
        <v>1</v>
      </c>
      <c r="F131">
        <f>RTD("tos.rtd", , "GAMMA", ".SPXW240129C4855")</f>
        <v>0</v>
      </c>
      <c r="G131">
        <f>RTD("tos.rtd", , "BID", ".SPXW240129C4855")</f>
        <v>70.099999999999994</v>
      </c>
      <c r="H131" t="str">
        <f>RTD("tos.rtd", , "BX", ".SPXW240129C4855")</f>
        <v>C</v>
      </c>
      <c r="I131">
        <f>RTD("tos.rtd", , "ASK", ".SPXW240129C4855")</f>
        <v>76.400000000000006</v>
      </c>
      <c r="J131" t="str">
        <f>RTD("tos.rtd", , "AX", ".SPXW240129C4855")</f>
        <v>C</v>
      </c>
      <c r="K131" t="str">
        <f>RTD("tos.rtd", , "EXPIRATION_DAY", ".SPXW240129C4855")</f>
        <v>2024-01-29</v>
      </c>
      <c r="L131">
        <f>RTD("tos.rtd", , "STRIKE", ".SPXW240129C4855")</f>
        <v>4855</v>
      </c>
      <c r="M131">
        <f>RTD("tos.rtd", , "BID", ".SPXW240129P4855")</f>
        <v>0</v>
      </c>
      <c r="N131" t="str">
        <f>RTD("tos.rtd", , "BX", ".SPXW240129P4855")</f>
        <v>C</v>
      </c>
      <c r="O131">
        <f>RTD("tos.rtd", , "ASK", ".SPXW240129P4855")</f>
        <v>0.05</v>
      </c>
      <c r="P131" t="str">
        <f>RTD("tos.rtd", , "AX", ".SPXW240129P4855")</f>
        <v>C</v>
      </c>
      <c r="Q131" t="str">
        <f>RTD("tos.rtd", , "VOLUME", ".SPXW240129P4855")</f>
        <v>N/A</v>
      </c>
      <c r="R131">
        <f>RTD("tos.rtd", , "OPEN_INT", ".SPXW240129P4855")</f>
        <v>9004</v>
      </c>
      <c r="S131">
        <f>RTD("tos.rtd", , "DELTA", ".SPXW240129P4855")</f>
        <v>0</v>
      </c>
      <c r="T131">
        <f>RTD("tos.rtd", , "GAMMA", ".SPXW240129P4855")</f>
        <v>0</v>
      </c>
    </row>
    <row r="132" spans="3:20" x14ac:dyDescent="0.25">
      <c r="C132" t="str">
        <f>RTD("tos.rtd", , "VOLUME", ".SPXW240129C4860")</f>
        <v>N/A</v>
      </c>
      <c r="D132">
        <f>RTD("tos.rtd", , "OPEN_INT", ".SPXW240129C4860")</f>
        <v>0</v>
      </c>
      <c r="E132">
        <f>RTD("tos.rtd", , "DELTA", ".SPXW240129C4860")</f>
        <v>1</v>
      </c>
      <c r="F132">
        <f>RTD("tos.rtd", , "GAMMA", ".SPXW240129C4860")</f>
        <v>0</v>
      </c>
      <c r="G132">
        <f>RTD("tos.rtd", , "BID", ".SPXW240129C4860")</f>
        <v>65.099999999999994</v>
      </c>
      <c r="H132" t="str">
        <f>RTD("tos.rtd", , "BX", ".SPXW240129C4860")</f>
        <v>C</v>
      </c>
      <c r="I132">
        <f>RTD("tos.rtd", , "ASK", ".SPXW240129C4860")</f>
        <v>71.400000000000006</v>
      </c>
      <c r="J132" t="str">
        <f>RTD("tos.rtd", , "AX", ".SPXW240129C4860")</f>
        <v>C</v>
      </c>
      <c r="K132" t="str">
        <f>RTD("tos.rtd", , "EXPIRATION_DAY", ".SPXW240129C4860")</f>
        <v>2024-01-29</v>
      </c>
      <c r="L132">
        <f>RTD("tos.rtd", , "STRIKE", ".SPXW240129C4860")</f>
        <v>4860</v>
      </c>
      <c r="M132">
        <f>RTD("tos.rtd", , "BID", ".SPXW240129P4860")</f>
        <v>0</v>
      </c>
      <c r="N132" t="str">
        <f>RTD("tos.rtd", , "BX", ".SPXW240129P4860")</f>
        <v>C</v>
      </c>
      <c r="O132">
        <f>RTD("tos.rtd", , "ASK", ".SPXW240129P4860")</f>
        <v>0.05</v>
      </c>
      <c r="P132" t="str">
        <f>RTD("tos.rtd", , "AX", ".SPXW240129P4860")</f>
        <v>C</v>
      </c>
      <c r="Q132" t="str">
        <f>RTD("tos.rtd", , "VOLUME", ".SPXW240129P4860")</f>
        <v>N/A</v>
      </c>
      <c r="R132">
        <f>RTD("tos.rtd", , "OPEN_INT", ".SPXW240129P4860")</f>
        <v>8587</v>
      </c>
      <c r="S132">
        <f>RTD("tos.rtd", , "DELTA", ".SPXW240129P4860")</f>
        <v>0</v>
      </c>
      <c r="T132">
        <f>RTD("tos.rtd", , "GAMMA", ".SPXW240129P4860")</f>
        <v>0</v>
      </c>
    </row>
    <row r="133" spans="3:20" x14ac:dyDescent="0.25">
      <c r="C133" t="str">
        <f>RTD("tos.rtd", , "VOLUME", ".SPXW240129C4865")</f>
        <v>N/A</v>
      </c>
      <c r="D133">
        <f>RTD("tos.rtd", , "OPEN_INT", ".SPXW240129C4865")</f>
        <v>0</v>
      </c>
      <c r="E133">
        <f>RTD("tos.rtd", , "DELTA", ".SPXW240129C4865")</f>
        <v>1</v>
      </c>
      <c r="F133">
        <f>RTD("tos.rtd", , "GAMMA", ".SPXW240129C4865")</f>
        <v>0</v>
      </c>
      <c r="G133">
        <f>RTD("tos.rtd", , "BID", ".SPXW240129C4865")</f>
        <v>60.1</v>
      </c>
      <c r="H133" t="str">
        <f>RTD("tos.rtd", , "BX", ".SPXW240129C4865")</f>
        <v>C</v>
      </c>
      <c r="I133">
        <f>RTD("tos.rtd", , "ASK", ".SPXW240129C4865")</f>
        <v>66.400000000000006</v>
      </c>
      <c r="J133" t="str">
        <f>RTD("tos.rtd", , "AX", ".SPXW240129C4865")</f>
        <v>C</v>
      </c>
      <c r="K133" t="str">
        <f>RTD("tos.rtd", , "EXPIRATION_DAY", ".SPXW240129C4865")</f>
        <v>2024-01-29</v>
      </c>
      <c r="L133">
        <f>RTD("tos.rtd", , "STRIKE", ".SPXW240129C4865")</f>
        <v>4865</v>
      </c>
      <c r="M133">
        <f>RTD("tos.rtd", , "BID", ".SPXW240129P4865")</f>
        <v>0</v>
      </c>
      <c r="N133" t="str">
        <f>RTD("tos.rtd", , "BX", ".SPXW240129P4865")</f>
        <v>C</v>
      </c>
      <c r="O133">
        <f>RTD("tos.rtd", , "ASK", ".SPXW240129P4865")</f>
        <v>0.05</v>
      </c>
      <c r="P133" t="str">
        <f>RTD("tos.rtd", , "AX", ".SPXW240129P4865")</f>
        <v>C</v>
      </c>
      <c r="Q133" t="str">
        <f>RTD("tos.rtd", , "VOLUME", ".SPXW240129P4865")</f>
        <v>N/A</v>
      </c>
      <c r="R133">
        <f>RTD("tos.rtd", , "OPEN_INT", ".SPXW240129P4865")</f>
        <v>8045</v>
      </c>
      <c r="S133">
        <f>RTD("tos.rtd", , "DELTA", ".SPXW240129P4865")</f>
        <v>0</v>
      </c>
      <c r="T133">
        <f>RTD("tos.rtd", , "GAMMA", ".SPXW240129P4865")</f>
        <v>0</v>
      </c>
    </row>
    <row r="134" spans="3:20" x14ac:dyDescent="0.25">
      <c r="C134" t="str">
        <f>RTD("tos.rtd", , "VOLUME", ".SPXW240129C4870")</f>
        <v>N/A</v>
      </c>
      <c r="D134">
        <f>RTD("tos.rtd", , "OPEN_INT", ".SPXW240129C4870")</f>
        <v>0</v>
      </c>
      <c r="E134">
        <f>RTD("tos.rtd", , "DELTA", ".SPXW240129C4870")</f>
        <v>1</v>
      </c>
      <c r="F134">
        <f>RTD("tos.rtd", , "GAMMA", ".SPXW240129C4870")</f>
        <v>0</v>
      </c>
      <c r="G134">
        <f>RTD("tos.rtd", , "BID", ".SPXW240129C4870")</f>
        <v>55.1</v>
      </c>
      <c r="H134" t="str">
        <f>RTD("tos.rtd", , "BX", ".SPXW240129C4870")</f>
        <v>C</v>
      </c>
      <c r="I134">
        <f>RTD("tos.rtd", , "ASK", ".SPXW240129C4870")</f>
        <v>61.4</v>
      </c>
      <c r="J134" t="str">
        <f>RTD("tos.rtd", , "AX", ".SPXW240129C4870")</f>
        <v>C</v>
      </c>
      <c r="K134" t="str">
        <f>RTD("tos.rtd", , "EXPIRATION_DAY", ".SPXW240129C4870")</f>
        <v>2024-01-29</v>
      </c>
      <c r="L134">
        <f>RTD("tos.rtd", , "STRIKE", ".SPXW240129C4870")</f>
        <v>4870</v>
      </c>
      <c r="M134">
        <f>RTD("tos.rtd", , "BID", ".SPXW240129P4870")</f>
        <v>0</v>
      </c>
      <c r="N134" t="str">
        <f>RTD("tos.rtd", , "BX", ".SPXW240129P4870")</f>
        <v>C</v>
      </c>
      <c r="O134">
        <f>RTD("tos.rtd", , "ASK", ".SPXW240129P4870")</f>
        <v>0.05</v>
      </c>
      <c r="P134" t="str">
        <f>RTD("tos.rtd", , "AX", ".SPXW240129P4870")</f>
        <v>C</v>
      </c>
      <c r="Q134" t="str">
        <f>RTD("tos.rtd", , "VOLUME", ".SPXW240129P4870")</f>
        <v>N/A</v>
      </c>
      <c r="R134">
        <f>RTD("tos.rtd", , "OPEN_INT", ".SPXW240129P4870")</f>
        <v>10084</v>
      </c>
      <c r="S134">
        <f>RTD("tos.rtd", , "DELTA", ".SPXW240129P4870")</f>
        <v>0</v>
      </c>
      <c r="T134">
        <f>RTD("tos.rtd", , "GAMMA", ".SPXW240129P4870")</f>
        <v>0</v>
      </c>
    </row>
    <row r="135" spans="3:20" x14ac:dyDescent="0.25">
      <c r="C135" t="str">
        <f>RTD("tos.rtd", , "VOLUME", ".SPXW240129C4875")</f>
        <v>N/A</v>
      </c>
      <c r="D135">
        <f>RTD("tos.rtd", , "OPEN_INT", ".SPXW240129C4875")</f>
        <v>0</v>
      </c>
      <c r="E135">
        <f>RTD("tos.rtd", , "DELTA", ".SPXW240129C4875")</f>
        <v>1</v>
      </c>
      <c r="F135">
        <f>RTD("tos.rtd", , "GAMMA", ".SPXW240129C4875")</f>
        <v>0</v>
      </c>
      <c r="G135">
        <f>RTD("tos.rtd", , "BID", ".SPXW240129C4875")</f>
        <v>50.1</v>
      </c>
      <c r="H135" t="str">
        <f>RTD("tos.rtd", , "BX", ".SPXW240129C4875")</f>
        <v>C</v>
      </c>
      <c r="I135">
        <f>RTD("tos.rtd", , "ASK", ".SPXW240129C4875")</f>
        <v>56.4</v>
      </c>
      <c r="J135" t="str">
        <f>RTD("tos.rtd", , "AX", ".SPXW240129C4875")</f>
        <v>C</v>
      </c>
      <c r="K135" t="str">
        <f>RTD("tos.rtd", , "EXPIRATION_DAY", ".SPXW240129C4875")</f>
        <v>2024-01-29</v>
      </c>
      <c r="L135">
        <f>RTD("tos.rtd", , "STRIKE", ".SPXW240129C4875")</f>
        <v>4875</v>
      </c>
      <c r="M135">
        <f>RTD("tos.rtd", , "BID", ".SPXW240129P4875")</f>
        <v>0</v>
      </c>
      <c r="N135" t="str">
        <f>RTD("tos.rtd", , "BX", ".SPXW240129P4875")</f>
        <v>C</v>
      </c>
      <c r="O135">
        <f>RTD("tos.rtd", , "ASK", ".SPXW240129P4875")</f>
        <v>0.05</v>
      </c>
      <c r="P135" t="str">
        <f>RTD("tos.rtd", , "AX", ".SPXW240129P4875")</f>
        <v>C</v>
      </c>
      <c r="Q135" t="str">
        <f>RTD("tos.rtd", , "VOLUME", ".SPXW240129P4875")</f>
        <v>N/A</v>
      </c>
      <c r="R135">
        <f>RTD("tos.rtd", , "OPEN_INT", ".SPXW240129P4875")</f>
        <v>8985</v>
      </c>
      <c r="S135">
        <f>RTD("tos.rtd", , "DELTA", ".SPXW240129P4875")</f>
        <v>0</v>
      </c>
      <c r="T135">
        <f>RTD("tos.rtd", , "GAMMA", ".SPXW240129P4875")</f>
        <v>0</v>
      </c>
    </row>
    <row r="136" spans="3:20" x14ac:dyDescent="0.25">
      <c r="C136" t="str">
        <f>RTD("tos.rtd", , "VOLUME", ".SPXW240129C4880")</f>
        <v>N/A</v>
      </c>
      <c r="D136">
        <f>RTD("tos.rtd", , "OPEN_INT", ".SPXW240129C4880")</f>
        <v>0</v>
      </c>
      <c r="E136">
        <f>RTD("tos.rtd", , "DELTA", ".SPXW240129C4880")</f>
        <v>1</v>
      </c>
      <c r="F136">
        <f>RTD("tos.rtd", , "GAMMA", ".SPXW240129C4880")</f>
        <v>0</v>
      </c>
      <c r="G136">
        <f>RTD("tos.rtd", , "BID", ".SPXW240129C4880")</f>
        <v>45.1</v>
      </c>
      <c r="H136" t="str">
        <f>RTD("tos.rtd", , "BX", ".SPXW240129C4880")</f>
        <v>C</v>
      </c>
      <c r="I136">
        <f>RTD("tos.rtd", , "ASK", ".SPXW240129C4880")</f>
        <v>51.4</v>
      </c>
      <c r="J136" t="str">
        <f>RTD("tos.rtd", , "AX", ".SPXW240129C4880")</f>
        <v>C</v>
      </c>
      <c r="K136" t="str">
        <f>RTD("tos.rtd", , "EXPIRATION_DAY", ".SPXW240129C4880")</f>
        <v>2024-01-29</v>
      </c>
      <c r="L136">
        <f>RTD("tos.rtd", , "STRIKE", ".SPXW240129C4880")</f>
        <v>4880</v>
      </c>
      <c r="M136">
        <f>RTD("tos.rtd", , "BID", ".SPXW240129P4880")</f>
        <v>0</v>
      </c>
      <c r="N136" t="str">
        <f>RTD("tos.rtd", , "BX", ".SPXW240129P4880")</f>
        <v>C</v>
      </c>
      <c r="O136">
        <f>RTD("tos.rtd", , "ASK", ".SPXW240129P4880")</f>
        <v>0.05</v>
      </c>
      <c r="P136" t="str">
        <f>RTD("tos.rtd", , "AX", ".SPXW240129P4880")</f>
        <v>C</v>
      </c>
      <c r="Q136" t="str">
        <f>RTD("tos.rtd", , "VOLUME", ".SPXW240129P4880")</f>
        <v>N/A</v>
      </c>
      <c r="R136">
        <f>RTD("tos.rtd", , "OPEN_INT", ".SPXW240129P4880")</f>
        <v>7485</v>
      </c>
      <c r="S136">
        <f>RTD("tos.rtd", , "DELTA", ".SPXW240129P4880")</f>
        <v>0</v>
      </c>
      <c r="T136">
        <f>RTD("tos.rtd", , "GAMMA", ".SPXW240129P4880")</f>
        <v>0</v>
      </c>
    </row>
    <row r="137" spans="3:20" x14ac:dyDescent="0.25">
      <c r="C137" t="str">
        <f>RTD("tos.rtd", , "VOLUME", ".SPXW240129C4885")</f>
        <v>N/A</v>
      </c>
      <c r="D137">
        <f>RTD("tos.rtd", , "OPEN_INT", ".SPXW240129C4885")</f>
        <v>0</v>
      </c>
      <c r="E137">
        <f>RTD("tos.rtd", , "DELTA", ".SPXW240129C4885")</f>
        <v>1</v>
      </c>
      <c r="F137">
        <f>RTD("tos.rtd", , "GAMMA", ".SPXW240129C4885")</f>
        <v>0</v>
      </c>
      <c r="G137">
        <f>RTD("tos.rtd", , "BID", ".SPXW240129C4885")</f>
        <v>40.1</v>
      </c>
      <c r="H137" t="str">
        <f>RTD("tos.rtd", , "BX", ".SPXW240129C4885")</f>
        <v>C</v>
      </c>
      <c r="I137">
        <f>RTD("tos.rtd", , "ASK", ".SPXW240129C4885")</f>
        <v>46.4</v>
      </c>
      <c r="J137" t="str">
        <f>RTD("tos.rtd", , "AX", ".SPXW240129C4885")</f>
        <v>C</v>
      </c>
      <c r="K137" t="str">
        <f>RTD("tos.rtd", , "EXPIRATION_DAY", ".SPXW240129C4885")</f>
        <v>2024-01-29</v>
      </c>
      <c r="L137">
        <f>RTD("tos.rtd", , "STRIKE", ".SPXW240129C4885")</f>
        <v>4885</v>
      </c>
      <c r="M137">
        <f>RTD("tos.rtd", , "BID", ".SPXW240129P4885")</f>
        <v>0</v>
      </c>
      <c r="N137" t="str">
        <f>RTD("tos.rtd", , "BX", ".SPXW240129P4885")</f>
        <v>C</v>
      </c>
      <c r="O137">
        <f>RTD("tos.rtd", , "ASK", ".SPXW240129P4885")</f>
        <v>0.05</v>
      </c>
      <c r="P137" t="str">
        <f>RTD("tos.rtd", , "AX", ".SPXW240129P4885")</f>
        <v>C</v>
      </c>
      <c r="Q137" t="str">
        <f>RTD("tos.rtd", , "VOLUME", ".SPXW240129P4885")</f>
        <v>N/A</v>
      </c>
      <c r="R137">
        <f>RTD("tos.rtd", , "OPEN_INT", ".SPXW240129P4885")</f>
        <v>8665</v>
      </c>
      <c r="S137">
        <f>RTD("tos.rtd", , "DELTA", ".SPXW240129P4885")</f>
        <v>0</v>
      </c>
      <c r="T137">
        <f>RTD("tos.rtd", , "GAMMA", ".SPXW240129P4885")</f>
        <v>0</v>
      </c>
    </row>
    <row r="138" spans="3:20" x14ac:dyDescent="0.25">
      <c r="C138" t="str">
        <f>RTD("tos.rtd", , "VOLUME", ".SPXW240129C4890")</f>
        <v>N/A</v>
      </c>
      <c r="D138">
        <f>RTD("tos.rtd", , "OPEN_INT", ".SPXW240129C4890")</f>
        <v>0</v>
      </c>
      <c r="E138">
        <f>RTD("tos.rtd", , "DELTA", ".SPXW240129C4890")</f>
        <v>1</v>
      </c>
      <c r="F138">
        <f>RTD("tos.rtd", , "GAMMA", ".SPXW240129C4890")</f>
        <v>0</v>
      </c>
      <c r="G138">
        <f>RTD("tos.rtd", , "BID", ".SPXW240129C4890")</f>
        <v>35.1</v>
      </c>
      <c r="H138" t="str">
        <f>RTD("tos.rtd", , "BX", ".SPXW240129C4890")</f>
        <v>C</v>
      </c>
      <c r="I138">
        <f>RTD("tos.rtd", , "ASK", ".SPXW240129C4890")</f>
        <v>41.4</v>
      </c>
      <c r="J138" t="str">
        <f>RTD("tos.rtd", , "AX", ".SPXW240129C4890")</f>
        <v>C</v>
      </c>
      <c r="K138" t="str">
        <f>RTD("tos.rtd", , "EXPIRATION_DAY", ".SPXW240129C4890")</f>
        <v>2024-01-29</v>
      </c>
      <c r="L138">
        <f>RTD("tos.rtd", , "STRIKE", ".SPXW240129C4890")</f>
        <v>4890</v>
      </c>
      <c r="M138">
        <f>RTD("tos.rtd", , "BID", ".SPXW240129P4890")</f>
        <v>0</v>
      </c>
      <c r="N138" t="str">
        <f>RTD("tos.rtd", , "BX", ".SPXW240129P4890")</f>
        <v>C</v>
      </c>
      <c r="O138">
        <f>RTD("tos.rtd", , "ASK", ".SPXW240129P4890")</f>
        <v>0.05</v>
      </c>
      <c r="P138" t="str">
        <f>RTD("tos.rtd", , "AX", ".SPXW240129P4890")</f>
        <v>C</v>
      </c>
      <c r="Q138" t="str">
        <f>RTD("tos.rtd", , "VOLUME", ".SPXW240129P4890")</f>
        <v>N/A</v>
      </c>
      <c r="R138">
        <f>RTD("tos.rtd", , "OPEN_INT", ".SPXW240129P4890")</f>
        <v>7775</v>
      </c>
      <c r="S138">
        <f>RTD("tos.rtd", , "DELTA", ".SPXW240129P4890")</f>
        <v>0</v>
      </c>
      <c r="T138">
        <f>RTD("tos.rtd", , "GAMMA", ".SPXW240129P4890")</f>
        <v>0</v>
      </c>
    </row>
    <row r="139" spans="3:20" x14ac:dyDescent="0.25">
      <c r="C139" t="str">
        <f>RTD("tos.rtd", , "VOLUME", ".SPXW240129C4895")</f>
        <v>N/A</v>
      </c>
      <c r="D139">
        <f>RTD("tos.rtd", , "OPEN_INT", ".SPXW240129C4895")</f>
        <v>0</v>
      </c>
      <c r="E139">
        <f>RTD("tos.rtd", , "DELTA", ".SPXW240129C4895")</f>
        <v>1</v>
      </c>
      <c r="F139">
        <f>RTD("tos.rtd", , "GAMMA", ".SPXW240129C4895")</f>
        <v>0</v>
      </c>
      <c r="G139">
        <f>RTD("tos.rtd", , "BID", ".SPXW240129C4895")</f>
        <v>30.1</v>
      </c>
      <c r="H139" t="str">
        <f>RTD("tos.rtd", , "BX", ".SPXW240129C4895")</f>
        <v>C</v>
      </c>
      <c r="I139">
        <f>RTD("tos.rtd", , "ASK", ".SPXW240129C4895")</f>
        <v>34</v>
      </c>
      <c r="J139" t="str">
        <f>RTD("tos.rtd", , "AX", ".SPXW240129C4895")</f>
        <v>C</v>
      </c>
      <c r="K139" t="str">
        <f>RTD("tos.rtd", , "EXPIRATION_DAY", ".SPXW240129C4895")</f>
        <v>2024-01-29</v>
      </c>
      <c r="L139">
        <f>RTD("tos.rtd", , "STRIKE", ".SPXW240129C4895")</f>
        <v>4895</v>
      </c>
      <c r="M139">
        <f>RTD("tos.rtd", , "BID", ".SPXW240129P4895")</f>
        <v>0</v>
      </c>
      <c r="N139" t="str">
        <f>RTD("tos.rtd", , "BX", ".SPXW240129P4895")</f>
        <v>C</v>
      </c>
      <c r="O139">
        <f>RTD("tos.rtd", , "ASK", ".SPXW240129P4895")</f>
        <v>0.05</v>
      </c>
      <c r="P139" t="str">
        <f>RTD("tos.rtd", , "AX", ".SPXW240129P4895")</f>
        <v>C</v>
      </c>
      <c r="Q139" t="str">
        <f>RTD("tos.rtd", , "VOLUME", ".SPXW240129P4895")</f>
        <v>N/A</v>
      </c>
      <c r="R139">
        <f>RTD("tos.rtd", , "OPEN_INT", ".SPXW240129P4895")</f>
        <v>7368</v>
      </c>
      <c r="S139">
        <f>RTD("tos.rtd", , "DELTA", ".SPXW240129P4895")</f>
        <v>0</v>
      </c>
      <c r="T139">
        <f>RTD("tos.rtd", , "GAMMA", ".SPXW240129P4895")</f>
        <v>0</v>
      </c>
    </row>
    <row r="140" spans="3:20" x14ac:dyDescent="0.25">
      <c r="C140" t="str">
        <f>RTD("tos.rtd", , "VOLUME", ".SPXW240129C4900")</f>
        <v>N/A</v>
      </c>
      <c r="D140">
        <f>RTD("tos.rtd", , "OPEN_INT", ".SPXW240129C4900")</f>
        <v>0</v>
      </c>
      <c r="E140">
        <f>RTD("tos.rtd", , "DELTA", ".SPXW240129C4900")</f>
        <v>1</v>
      </c>
      <c r="F140">
        <f>RTD("tos.rtd", , "GAMMA", ".SPXW240129C4900")</f>
        <v>0</v>
      </c>
      <c r="G140">
        <f>RTD("tos.rtd", , "BID", ".SPXW240129C4900")</f>
        <v>26.1</v>
      </c>
      <c r="H140" t="str">
        <f>RTD("tos.rtd", , "BX", ".SPXW240129C4900")</f>
        <v>C</v>
      </c>
      <c r="I140">
        <f>RTD("tos.rtd", , "ASK", ".SPXW240129C4900")</f>
        <v>31.2</v>
      </c>
      <c r="J140" t="str">
        <f>RTD("tos.rtd", , "AX", ".SPXW240129C4900")</f>
        <v>C</v>
      </c>
      <c r="K140" t="str">
        <f>RTD("tos.rtd", , "EXPIRATION_DAY", ".SPXW240129C4900")</f>
        <v>2024-01-29</v>
      </c>
      <c r="L140">
        <f>RTD("tos.rtd", , "STRIKE", ".SPXW240129C4900")</f>
        <v>4900</v>
      </c>
      <c r="M140">
        <f>RTD("tos.rtd", , "BID", ".SPXW240129P4900")</f>
        <v>0</v>
      </c>
      <c r="N140" t="str">
        <f>RTD("tos.rtd", , "BX", ".SPXW240129P4900")</f>
        <v>C</v>
      </c>
      <c r="O140">
        <f>RTD("tos.rtd", , "ASK", ".SPXW240129P4900")</f>
        <v>0.05</v>
      </c>
      <c r="P140" t="str">
        <f>RTD("tos.rtd", , "AX", ".SPXW240129P4900")</f>
        <v>C</v>
      </c>
      <c r="Q140" t="str">
        <f>RTD("tos.rtd", , "VOLUME", ".SPXW240129P4900")</f>
        <v>N/A</v>
      </c>
      <c r="R140">
        <f>RTD("tos.rtd", , "OPEN_INT", ".SPXW240129P4900")</f>
        <v>13068</v>
      </c>
      <c r="S140">
        <f>RTD("tos.rtd", , "DELTA", ".SPXW240129P4900")</f>
        <v>0</v>
      </c>
      <c r="T140">
        <f>RTD("tos.rtd", , "GAMMA", ".SPXW240129P4900")</f>
        <v>0</v>
      </c>
    </row>
    <row r="141" spans="3:20" x14ac:dyDescent="0.25">
      <c r="C141" t="str">
        <f>RTD("tos.rtd", , "VOLUME", ".SPXW240129C4905")</f>
        <v>N/A</v>
      </c>
      <c r="D141">
        <f>RTD("tos.rtd", , "OPEN_INT", ".SPXW240129C4905")</f>
        <v>0</v>
      </c>
      <c r="E141">
        <f>RTD("tos.rtd", , "DELTA", ".SPXW240129C4905")</f>
        <v>1</v>
      </c>
      <c r="F141">
        <f>RTD("tos.rtd", , "GAMMA", ".SPXW240129C4905")</f>
        <v>0</v>
      </c>
      <c r="G141">
        <f>RTD("tos.rtd", , "BID", ".SPXW240129C4905")</f>
        <v>21.8</v>
      </c>
      <c r="H141" t="str">
        <f>RTD("tos.rtd", , "BX", ".SPXW240129C4905")</f>
        <v>C</v>
      </c>
      <c r="I141">
        <f>RTD("tos.rtd", , "ASK", ".SPXW240129C4905")</f>
        <v>24.8</v>
      </c>
      <c r="J141" t="str">
        <f>RTD("tos.rtd", , "AX", ".SPXW240129C4905")</f>
        <v>C</v>
      </c>
      <c r="K141" t="str">
        <f>RTD("tos.rtd", , "EXPIRATION_DAY", ".SPXW240129C4905")</f>
        <v>2024-01-29</v>
      </c>
      <c r="L141">
        <f>RTD("tos.rtd", , "STRIKE", ".SPXW240129C4905")</f>
        <v>4905</v>
      </c>
      <c r="M141">
        <f>RTD("tos.rtd", , "BID", ".SPXW240129P4905")</f>
        <v>0</v>
      </c>
      <c r="N141" t="str">
        <f>RTD("tos.rtd", , "BX", ".SPXW240129P4905")</f>
        <v>C</v>
      </c>
      <c r="O141">
        <f>RTD("tos.rtd", , "ASK", ".SPXW240129P4905")</f>
        <v>0.05</v>
      </c>
      <c r="P141" t="str">
        <f>RTD("tos.rtd", , "AX", ".SPXW240129P4905")</f>
        <v>C</v>
      </c>
      <c r="Q141" t="str">
        <f>RTD("tos.rtd", , "VOLUME", ".SPXW240129P4905")</f>
        <v>N/A</v>
      </c>
      <c r="R141">
        <f>RTD("tos.rtd", , "OPEN_INT", ".SPXW240129P4905")</f>
        <v>5274</v>
      </c>
      <c r="S141">
        <f>RTD("tos.rtd", , "DELTA", ".SPXW240129P4905")</f>
        <v>0</v>
      </c>
      <c r="T141">
        <f>RTD("tos.rtd", , "GAMMA", ".SPXW240129P4905")</f>
        <v>0</v>
      </c>
    </row>
    <row r="142" spans="3:20" x14ac:dyDescent="0.25">
      <c r="C142" t="str">
        <f>RTD("tos.rtd", , "VOLUME", ".SPXW240129C4910")</f>
        <v>N/A</v>
      </c>
      <c r="D142">
        <f>RTD("tos.rtd", , "OPEN_INT", ".SPXW240129C4910")</f>
        <v>0</v>
      </c>
      <c r="E142">
        <f>RTD("tos.rtd", , "DELTA", ".SPXW240129C4910")</f>
        <v>1</v>
      </c>
      <c r="F142">
        <f>RTD("tos.rtd", , "GAMMA", ".SPXW240129C4910")</f>
        <v>0</v>
      </c>
      <c r="G142">
        <f>RTD("tos.rtd", , "BID", ".SPXW240129C4910")</f>
        <v>15.1</v>
      </c>
      <c r="H142" t="str">
        <f>RTD("tos.rtd", , "BX", ".SPXW240129C4910")</f>
        <v>C</v>
      </c>
      <c r="I142">
        <f>RTD("tos.rtd", , "ASK", ".SPXW240129C4910")</f>
        <v>19.600000000000001</v>
      </c>
      <c r="J142" t="str">
        <f>RTD("tos.rtd", , "AX", ".SPXW240129C4910")</f>
        <v>C</v>
      </c>
      <c r="K142" t="str">
        <f>RTD("tos.rtd", , "EXPIRATION_DAY", ".SPXW240129C4910")</f>
        <v>2024-01-29</v>
      </c>
      <c r="L142">
        <f>RTD("tos.rtd", , "STRIKE", ".SPXW240129C4910")</f>
        <v>4910</v>
      </c>
      <c r="M142">
        <f>RTD("tos.rtd", , "BID", ".SPXW240129P4910")</f>
        <v>0</v>
      </c>
      <c r="N142" t="str">
        <f>RTD("tos.rtd", , "BX", ".SPXW240129P4910")</f>
        <v>C</v>
      </c>
      <c r="O142">
        <f>RTD("tos.rtd", , "ASK", ".SPXW240129P4910")</f>
        <v>0.05</v>
      </c>
      <c r="P142" t="str">
        <f>RTD("tos.rtd", , "AX", ".SPXW240129P4910")</f>
        <v>C</v>
      </c>
      <c r="Q142" t="str">
        <f>RTD("tos.rtd", , "VOLUME", ".SPXW240129P4910")</f>
        <v>N/A</v>
      </c>
      <c r="R142">
        <f>RTD("tos.rtd", , "OPEN_INT", ".SPXW240129P4910")</f>
        <v>5972</v>
      </c>
      <c r="S142">
        <f>RTD("tos.rtd", , "DELTA", ".SPXW240129P4910")</f>
        <v>0</v>
      </c>
      <c r="T142">
        <f>RTD("tos.rtd", , "GAMMA", ".SPXW240129P4910")</f>
        <v>0</v>
      </c>
    </row>
    <row r="143" spans="3:20" x14ac:dyDescent="0.25">
      <c r="C143" t="str">
        <f>RTD("tos.rtd", , "VOLUME", ".SPXW240129C4915")</f>
        <v>N/A</v>
      </c>
      <c r="D143">
        <f>RTD("tos.rtd", , "OPEN_INT", ".SPXW240129C4915")</f>
        <v>0</v>
      </c>
      <c r="E143">
        <f>RTD("tos.rtd", , "DELTA", ".SPXW240129C4915")</f>
        <v>1</v>
      </c>
      <c r="F143">
        <f>RTD("tos.rtd", , "GAMMA", ".SPXW240129C4915")</f>
        <v>0</v>
      </c>
      <c r="G143">
        <f>RTD("tos.rtd", , "BID", ".SPXW240129C4915")</f>
        <v>12</v>
      </c>
      <c r="H143" t="str">
        <f>RTD("tos.rtd", , "BX", ".SPXW240129C4915")</f>
        <v>C</v>
      </c>
      <c r="I143">
        <f>RTD("tos.rtd", , "ASK", ".SPXW240129C4915")</f>
        <v>14</v>
      </c>
      <c r="J143" t="str">
        <f>RTD("tos.rtd", , "AX", ".SPXW240129C4915")</f>
        <v>C</v>
      </c>
      <c r="K143" t="str">
        <f>RTD("tos.rtd", , "EXPIRATION_DAY", ".SPXW240129C4915")</f>
        <v>2024-01-29</v>
      </c>
      <c r="L143">
        <f>RTD("tos.rtd", , "STRIKE", ".SPXW240129C4915")</f>
        <v>4915</v>
      </c>
      <c r="M143">
        <f>RTD("tos.rtd", , "BID", ".SPXW240129P4915")</f>
        <v>0</v>
      </c>
      <c r="N143" t="str">
        <f>RTD("tos.rtd", , "BX", ".SPXW240129P4915")</f>
        <v>C</v>
      </c>
      <c r="O143">
        <f>RTD("tos.rtd", , "ASK", ".SPXW240129P4915")</f>
        <v>0.05</v>
      </c>
      <c r="P143" t="str">
        <f>RTD("tos.rtd", , "AX", ".SPXW240129P4915")</f>
        <v>C</v>
      </c>
      <c r="Q143" t="str">
        <f>RTD("tos.rtd", , "VOLUME", ".SPXW240129P4915")</f>
        <v>N/A</v>
      </c>
      <c r="R143">
        <f>RTD("tos.rtd", , "OPEN_INT", ".SPXW240129P4915")</f>
        <v>4536</v>
      </c>
      <c r="S143">
        <f>RTD("tos.rtd", , "DELTA", ".SPXW240129P4915")</f>
        <v>0</v>
      </c>
      <c r="T143">
        <f>RTD("tos.rtd", , "GAMMA", ".SPXW240129P4915")</f>
        <v>0</v>
      </c>
    </row>
    <row r="144" spans="3:20" x14ac:dyDescent="0.25">
      <c r="C144" t="str">
        <f>RTD("tos.rtd", , "VOLUME", ".SPXW240129C4920")</f>
        <v>N/A</v>
      </c>
      <c r="D144">
        <f>RTD("tos.rtd", , "OPEN_INT", ".SPXW240129C4920")</f>
        <v>0</v>
      </c>
      <c r="E144">
        <f>RTD("tos.rtd", , "DELTA", ".SPXW240129C4920")</f>
        <v>1</v>
      </c>
      <c r="F144">
        <f>RTD("tos.rtd", , "GAMMA", ".SPXW240129C4920")</f>
        <v>0</v>
      </c>
      <c r="G144">
        <f>RTD("tos.rtd", , "BID", ".SPXW240129C4920")</f>
        <v>7.3</v>
      </c>
      <c r="H144" t="str">
        <f>RTD("tos.rtd", , "BX", ".SPXW240129C4920")</f>
        <v>C</v>
      </c>
      <c r="I144">
        <f>RTD("tos.rtd", , "ASK", ".SPXW240129C4920")</f>
        <v>9</v>
      </c>
      <c r="J144" t="str">
        <f>RTD("tos.rtd", , "AX", ".SPXW240129C4920")</f>
        <v>C</v>
      </c>
      <c r="K144" t="str">
        <f>RTD("tos.rtd", , "EXPIRATION_DAY", ".SPXW240129C4920")</f>
        <v>2024-01-29</v>
      </c>
      <c r="L144">
        <f>RTD("tos.rtd", , "STRIKE", ".SPXW240129C4920")</f>
        <v>4920</v>
      </c>
      <c r="M144">
        <f>RTD("tos.rtd", , "BID", ".SPXW240129P4920")</f>
        <v>0</v>
      </c>
      <c r="N144" t="str">
        <f>RTD("tos.rtd", , "BX", ".SPXW240129P4920")</f>
        <v>C</v>
      </c>
      <c r="O144">
        <f>RTD("tos.rtd", , "ASK", ".SPXW240129P4920")</f>
        <v>0.05</v>
      </c>
      <c r="P144" t="str">
        <f>RTD("tos.rtd", , "AX", ".SPXW240129P4920")</f>
        <v>C</v>
      </c>
      <c r="Q144" t="str">
        <f>RTD("tos.rtd", , "VOLUME", ".SPXW240129P4920")</f>
        <v>N/A</v>
      </c>
      <c r="R144">
        <f>RTD("tos.rtd", , "OPEN_INT", ".SPXW240129P4920")</f>
        <v>6598</v>
      </c>
      <c r="S144">
        <f>RTD("tos.rtd", , "DELTA", ".SPXW240129P4920")</f>
        <v>0</v>
      </c>
      <c r="T144">
        <f>RTD("tos.rtd", , "GAMMA", ".SPXW240129P4920")</f>
        <v>0</v>
      </c>
    </row>
    <row r="145" spans="3:20" x14ac:dyDescent="0.25">
      <c r="C145" t="str">
        <f>RTD("tos.rtd", , "VOLUME", ".SPXW240129C4925")</f>
        <v>N/A</v>
      </c>
      <c r="D145">
        <f>RTD("tos.rtd", , "OPEN_INT", ".SPXW240129C4925")</f>
        <v>0</v>
      </c>
      <c r="E145">
        <f>RTD("tos.rtd", , "DELTA", ".SPXW240129C4925")</f>
        <v>1</v>
      </c>
      <c r="F145">
        <f>RTD("tos.rtd", , "GAMMA", ".SPXW240129C4925")</f>
        <v>0</v>
      </c>
      <c r="G145">
        <f>RTD("tos.rtd", , "BID", ".SPXW240129C4925")</f>
        <v>2.2999999999999998</v>
      </c>
      <c r="H145" t="str">
        <f>RTD("tos.rtd", , "BX", ".SPXW240129C4925")</f>
        <v>C</v>
      </c>
      <c r="I145">
        <f>RTD("tos.rtd", , "ASK", ".SPXW240129C4925")</f>
        <v>3.5</v>
      </c>
      <c r="J145" t="str">
        <f>RTD("tos.rtd", , "AX", ".SPXW240129C4925")</f>
        <v>C</v>
      </c>
      <c r="K145" t="str">
        <f>RTD("tos.rtd", , "EXPIRATION_DAY", ".SPXW240129C4925")</f>
        <v>2024-01-29</v>
      </c>
      <c r="L145">
        <f>RTD("tos.rtd", , "STRIKE", ".SPXW240129C4925")</f>
        <v>4925</v>
      </c>
      <c r="M145">
        <f>RTD("tos.rtd", , "BID", ".SPXW240129P4925")</f>
        <v>0.05</v>
      </c>
      <c r="N145" t="str">
        <f>RTD("tos.rtd", , "BX", ".SPXW240129P4925")</f>
        <v>C</v>
      </c>
      <c r="O145">
        <f>RTD("tos.rtd", , "ASK", ".SPXW240129P4925")</f>
        <v>0.1</v>
      </c>
      <c r="P145" t="str">
        <f>RTD("tos.rtd", , "AX", ".SPXW240129P4925")</f>
        <v>C</v>
      </c>
      <c r="Q145" t="str">
        <f>RTD("tos.rtd", , "VOLUME", ".SPXW240129P4925")</f>
        <v>N/A</v>
      </c>
      <c r="R145">
        <f>RTD("tos.rtd", , "OPEN_INT", ".SPXW240129P4925")</f>
        <v>5041</v>
      </c>
      <c r="S145">
        <f>RTD("tos.rtd", , "DELTA", ".SPXW240129P4925")</f>
        <v>0</v>
      </c>
      <c r="T145">
        <f>RTD("tos.rtd", , "GAMMA", ".SPXW240129P4925")</f>
        <v>0</v>
      </c>
    </row>
    <row r="146" spans="3:20" x14ac:dyDescent="0.25">
      <c r="C146" t="str">
        <f>RTD("tos.rtd", , "VOLUME", ".SPXW240129C4930")</f>
        <v>N/A</v>
      </c>
      <c r="D146">
        <f>RTD("tos.rtd", , "OPEN_INT", ".SPXW240129C4930")</f>
        <v>7745</v>
      </c>
      <c r="E146">
        <f>RTD("tos.rtd", , "DELTA", ".SPXW240129C4930")</f>
        <v>1</v>
      </c>
      <c r="F146">
        <f>RTD("tos.rtd", , "GAMMA", ".SPXW240129C4930")</f>
        <v>0</v>
      </c>
      <c r="G146">
        <f>RTD("tos.rtd", , "BID", ".SPXW240129C4930")</f>
        <v>0</v>
      </c>
      <c r="H146" t="str">
        <f>RTD("tos.rtd", , "BX", ".SPXW240129C4930")</f>
        <v>C</v>
      </c>
      <c r="I146">
        <f>RTD("tos.rtd", , "ASK", ".SPXW240129C4930")</f>
        <v>0.05</v>
      </c>
      <c r="J146" t="str">
        <f>RTD("tos.rtd", , "AX", ".SPXW240129C4930")</f>
        <v>C</v>
      </c>
      <c r="K146" t="str">
        <f>RTD("tos.rtd", , "EXPIRATION_DAY", ".SPXW240129C4930")</f>
        <v>2024-01-29</v>
      </c>
      <c r="L146">
        <f>RTD("tos.rtd", , "STRIKE", ".SPXW240129C4930")</f>
        <v>4930</v>
      </c>
      <c r="M146">
        <f>RTD("tos.rtd", , "BID", ".SPXW240129P4930")</f>
        <v>1.6</v>
      </c>
      <c r="N146" t="str">
        <f>RTD("tos.rtd", , "BX", ".SPXW240129P4930")</f>
        <v>C</v>
      </c>
      <c r="O146">
        <f>RTD("tos.rtd", , "ASK", ".SPXW240129P4930")</f>
        <v>2.9</v>
      </c>
      <c r="P146" t="str">
        <f>RTD("tos.rtd", , "AX", ".SPXW240129P4930")</f>
        <v>C</v>
      </c>
      <c r="Q146" t="str">
        <f>RTD("tos.rtd", , "VOLUME", ".SPXW240129P4930")</f>
        <v>N/A</v>
      </c>
      <c r="R146">
        <f>RTD("tos.rtd", , "OPEN_INT", ".SPXW240129P4930")</f>
        <v>0</v>
      </c>
      <c r="S146">
        <f>RTD("tos.rtd", , "DELTA", ".SPXW240129P4930")</f>
        <v>-0.01</v>
      </c>
      <c r="T146">
        <f>RTD("tos.rtd", , "GAMMA", ".SPXW240129P4930")</f>
        <v>0</v>
      </c>
    </row>
    <row r="147" spans="3:20" x14ac:dyDescent="0.25">
      <c r="C147" t="str">
        <f>RTD("tos.rtd", , "VOLUME", ".SPXW240129C4935")</f>
        <v>N/A</v>
      </c>
      <c r="D147">
        <f>RTD("tos.rtd", , "OPEN_INT", ".SPXW240129C4935")</f>
        <v>9440</v>
      </c>
      <c r="E147">
        <f>RTD("tos.rtd", , "DELTA", ".SPXW240129C4935")</f>
        <v>1</v>
      </c>
      <c r="F147">
        <f>RTD("tos.rtd", , "GAMMA", ".SPXW240129C4935")</f>
        <v>0</v>
      </c>
      <c r="G147">
        <f>RTD("tos.rtd", , "BID", ".SPXW240129C4935")</f>
        <v>0</v>
      </c>
      <c r="H147" t="str">
        <f>RTD("tos.rtd", , "BX", ".SPXW240129C4935")</f>
        <v>C</v>
      </c>
      <c r="I147">
        <f>RTD("tos.rtd", , "ASK", ".SPXW240129C4935")</f>
        <v>0.05</v>
      </c>
      <c r="J147" t="str">
        <f>RTD("tos.rtd", , "AX", ".SPXW240129C4935")</f>
        <v>C</v>
      </c>
      <c r="K147" t="str">
        <f>RTD("tos.rtd", , "EXPIRATION_DAY", ".SPXW240129C4935")</f>
        <v>2024-01-29</v>
      </c>
      <c r="L147">
        <f>RTD("tos.rtd", , "STRIKE", ".SPXW240129C4935")</f>
        <v>4935</v>
      </c>
      <c r="M147">
        <f>RTD("tos.rtd", , "BID", ".SPXW240129P4935")</f>
        <v>6.2</v>
      </c>
      <c r="N147" t="str">
        <f>RTD("tos.rtd", , "BX", ".SPXW240129P4935")</f>
        <v>C</v>
      </c>
      <c r="O147">
        <f>RTD("tos.rtd", , "ASK", ".SPXW240129P4935")</f>
        <v>8.5</v>
      </c>
      <c r="P147" t="str">
        <f>RTD("tos.rtd", , "AX", ".SPXW240129P4935")</f>
        <v>C</v>
      </c>
      <c r="Q147" t="str">
        <f>RTD("tos.rtd", , "VOLUME", ".SPXW240129P4935")</f>
        <v>N/A</v>
      </c>
      <c r="R147">
        <f>RTD("tos.rtd", , "OPEN_INT", ".SPXW240129P4935")</f>
        <v>0</v>
      </c>
      <c r="S147">
        <f>RTD("tos.rtd", , "DELTA", ".SPXW240129P4935")</f>
        <v>-0.03</v>
      </c>
      <c r="T147">
        <f>RTD("tos.rtd", , "GAMMA", ".SPXW240129P4935")</f>
        <v>0</v>
      </c>
    </row>
    <row r="148" spans="3:20" x14ac:dyDescent="0.25">
      <c r="C148" t="str">
        <f>RTD("tos.rtd", , "VOLUME", ".SPXW240129C4940")</f>
        <v>N/A</v>
      </c>
      <c r="D148">
        <f>RTD("tos.rtd", , "OPEN_INT", ".SPXW240129C4940")</f>
        <v>7849</v>
      </c>
      <c r="E148">
        <f>RTD("tos.rtd", , "DELTA", ".SPXW240129C4940")</f>
        <v>1</v>
      </c>
      <c r="F148">
        <f>RTD("tos.rtd", , "GAMMA", ".SPXW240129C4940")</f>
        <v>0</v>
      </c>
      <c r="G148">
        <f>RTD("tos.rtd", , "BID", ".SPXW240129C4940")</f>
        <v>0</v>
      </c>
      <c r="H148" t="str">
        <f>RTD("tos.rtd", , "BX", ".SPXW240129C4940")</f>
        <v>C</v>
      </c>
      <c r="I148">
        <f>RTD("tos.rtd", , "ASK", ".SPXW240129C4940")</f>
        <v>0.05</v>
      </c>
      <c r="J148" t="str">
        <f>RTD("tos.rtd", , "AX", ".SPXW240129C4940")</f>
        <v>C</v>
      </c>
      <c r="K148" t="str">
        <f>RTD("tos.rtd", , "EXPIRATION_DAY", ".SPXW240129C4940")</f>
        <v>2024-01-29</v>
      </c>
      <c r="L148">
        <f>RTD("tos.rtd", , "STRIKE", ".SPXW240129C4940")</f>
        <v>4940</v>
      </c>
      <c r="M148">
        <f>RTD("tos.rtd", , "BID", ".SPXW240129P4940")</f>
        <v>11</v>
      </c>
      <c r="N148" t="str">
        <f>RTD("tos.rtd", , "BX", ".SPXW240129P4940")</f>
        <v>C</v>
      </c>
      <c r="O148">
        <f>RTD("tos.rtd", , "ASK", ".SPXW240129P4940")</f>
        <v>16.100000000000001</v>
      </c>
      <c r="P148" t="str">
        <f>RTD("tos.rtd", , "AX", ".SPXW240129P4940")</f>
        <v>C</v>
      </c>
      <c r="Q148" t="str">
        <f>RTD("tos.rtd", , "VOLUME", ".SPXW240129P4940")</f>
        <v>N/A</v>
      </c>
      <c r="R148">
        <f>RTD("tos.rtd", , "OPEN_INT", ".SPXW240129P4940")</f>
        <v>0</v>
      </c>
      <c r="S148">
        <f>RTD("tos.rtd", , "DELTA", ".SPXW240129P4940")</f>
        <v>-0.05</v>
      </c>
      <c r="T148">
        <f>RTD("tos.rtd", , "GAMMA", ".SPXW240129P4940")</f>
        <v>0</v>
      </c>
    </row>
    <row r="149" spans="3:20" x14ac:dyDescent="0.25">
      <c r="C149" t="str">
        <f>RTD("tos.rtd", , "VOLUME", ".SPXW240129C4945")</f>
        <v>N/A</v>
      </c>
      <c r="D149">
        <f>RTD("tos.rtd", , "OPEN_INT", ".SPXW240129C4945")</f>
        <v>5327</v>
      </c>
      <c r="E149">
        <f>RTD("tos.rtd", , "DELTA", ".SPXW240129C4945")</f>
        <v>1</v>
      </c>
      <c r="F149">
        <f>RTD("tos.rtd", , "GAMMA", ".SPXW240129C4945")</f>
        <v>0</v>
      </c>
      <c r="G149">
        <f>RTD("tos.rtd", , "BID", ".SPXW240129C4945")</f>
        <v>0</v>
      </c>
      <c r="H149" t="str">
        <f>RTD("tos.rtd", , "BX", ".SPXW240129C4945")</f>
        <v>C</v>
      </c>
      <c r="I149">
        <f>RTD("tos.rtd", , "ASK", ".SPXW240129C4945")</f>
        <v>0.05</v>
      </c>
      <c r="J149" t="str">
        <f>RTD("tos.rtd", , "AX", ".SPXW240129C4945")</f>
        <v>C</v>
      </c>
      <c r="K149" t="str">
        <f>RTD("tos.rtd", , "EXPIRATION_DAY", ".SPXW240129C4945")</f>
        <v>2024-01-29</v>
      </c>
      <c r="L149">
        <f>RTD("tos.rtd", , "STRIKE", ".SPXW240129C4945")</f>
        <v>4945</v>
      </c>
      <c r="M149">
        <f>RTD("tos.rtd", , "BID", ".SPXW240129P4945")</f>
        <v>13.6</v>
      </c>
      <c r="N149" t="str">
        <f>RTD("tos.rtd", , "BX", ".SPXW240129P4945")</f>
        <v>C</v>
      </c>
      <c r="O149">
        <f>RTD("tos.rtd", , "ASK", ".SPXW240129P4945")</f>
        <v>19.899999999999999</v>
      </c>
      <c r="P149" t="str">
        <f>RTD("tos.rtd", , "AX", ".SPXW240129P4945")</f>
        <v>C</v>
      </c>
      <c r="Q149" t="str">
        <f>RTD("tos.rtd", , "VOLUME", ".SPXW240129P4945")</f>
        <v>N/A</v>
      </c>
      <c r="R149">
        <f>RTD("tos.rtd", , "OPEN_INT", ".SPXW240129P4945")</f>
        <v>0</v>
      </c>
      <c r="S149">
        <f>RTD("tos.rtd", , "DELTA", ".SPXW240129P4945")</f>
        <v>-0.05</v>
      </c>
      <c r="T149">
        <f>RTD("tos.rtd", , "GAMMA", ".SPXW240129P4945")</f>
        <v>0</v>
      </c>
    </row>
    <row r="150" spans="3:20" x14ac:dyDescent="0.25">
      <c r="C150" t="str">
        <f>RTD("tos.rtd", , "VOLUME", ".SPXW240129C4950")</f>
        <v>N/A</v>
      </c>
      <c r="D150">
        <f>RTD("tos.rtd", , "OPEN_INT", ".SPXW240129C4950")</f>
        <v>5704</v>
      </c>
      <c r="E150">
        <f>RTD("tos.rtd", , "DELTA", ".SPXW240129C4950")</f>
        <v>1</v>
      </c>
      <c r="F150">
        <f>RTD("tos.rtd", , "GAMMA", ".SPXW240129C4950")</f>
        <v>0</v>
      </c>
      <c r="G150">
        <f>RTD("tos.rtd", , "BID", ".SPXW240129C4950")</f>
        <v>0</v>
      </c>
      <c r="H150" t="str">
        <f>RTD("tos.rtd", , "BX", ".SPXW240129C4950")</f>
        <v>C</v>
      </c>
      <c r="I150">
        <f>RTD("tos.rtd", , "ASK", ".SPXW240129C4950")</f>
        <v>0.05</v>
      </c>
      <c r="J150" t="str">
        <f>RTD("tos.rtd", , "AX", ".SPXW240129C4950")</f>
        <v>C</v>
      </c>
      <c r="K150" t="str">
        <f>RTD("tos.rtd", , "EXPIRATION_DAY", ".SPXW240129C4950")</f>
        <v>2024-01-29</v>
      </c>
      <c r="L150">
        <f>RTD("tos.rtd", , "STRIKE", ".SPXW240129C4950")</f>
        <v>4950</v>
      </c>
      <c r="M150">
        <f>RTD("tos.rtd", , "BID", ".SPXW240129P4950")</f>
        <v>18.600000000000001</v>
      </c>
      <c r="N150" t="str">
        <f>RTD("tos.rtd", , "BX", ".SPXW240129P4950")</f>
        <v>C</v>
      </c>
      <c r="O150">
        <f>RTD("tos.rtd", , "ASK", ".SPXW240129P4950")</f>
        <v>24.9</v>
      </c>
      <c r="P150" t="str">
        <f>RTD("tos.rtd", , "AX", ".SPXW240129P4950")</f>
        <v>C</v>
      </c>
      <c r="Q150" t="str">
        <f>RTD("tos.rtd", , "VOLUME", ".SPXW240129P4950")</f>
        <v>N/A</v>
      </c>
      <c r="R150">
        <f>RTD("tos.rtd", , "OPEN_INT", ".SPXW240129P4950")</f>
        <v>0</v>
      </c>
      <c r="S150">
        <f>RTD("tos.rtd", , "DELTA", ".SPXW240129P4950")</f>
        <v>-7.0000000000000007E-2</v>
      </c>
      <c r="T150">
        <f>RTD("tos.rtd", , "GAMMA", ".SPXW240129P4950")</f>
        <v>0</v>
      </c>
    </row>
    <row r="151" spans="3:20" x14ac:dyDescent="0.25">
      <c r="C151" t="str">
        <f>RTD("tos.rtd", , "VOLUME", ".SPXW240129C4955")</f>
        <v>N/A</v>
      </c>
      <c r="D151">
        <f>RTD("tos.rtd", , "OPEN_INT", ".SPXW240129C4955")</f>
        <v>4679</v>
      </c>
      <c r="E151">
        <f>RTD("tos.rtd", , "DELTA", ".SPXW240129C4955")</f>
        <v>1</v>
      </c>
      <c r="F151">
        <f>RTD("tos.rtd", , "GAMMA", ".SPXW240129C4955")</f>
        <v>0</v>
      </c>
      <c r="G151">
        <f>RTD("tos.rtd", , "BID", ".SPXW240129C4955")</f>
        <v>0</v>
      </c>
      <c r="H151" t="str">
        <f>RTD("tos.rtd", , "BX", ".SPXW240129C4955")</f>
        <v>C</v>
      </c>
      <c r="I151">
        <f>RTD("tos.rtd", , "ASK", ".SPXW240129C4955")</f>
        <v>0.05</v>
      </c>
      <c r="J151" t="str">
        <f>RTD("tos.rtd", , "AX", ".SPXW240129C4955")</f>
        <v>C</v>
      </c>
      <c r="K151" t="str">
        <f>RTD("tos.rtd", , "EXPIRATION_DAY", ".SPXW240129C4955")</f>
        <v>2024-01-29</v>
      </c>
      <c r="L151">
        <f>RTD("tos.rtd", , "STRIKE", ".SPXW240129C4955")</f>
        <v>4955</v>
      </c>
      <c r="M151">
        <f>RTD("tos.rtd", , "BID", ".SPXW240129P4955")</f>
        <v>23.6</v>
      </c>
      <c r="N151" t="str">
        <f>RTD("tos.rtd", , "BX", ".SPXW240129P4955")</f>
        <v>C</v>
      </c>
      <c r="O151">
        <f>RTD("tos.rtd", , "ASK", ".SPXW240129P4955")</f>
        <v>29.9</v>
      </c>
      <c r="P151" t="str">
        <f>RTD("tos.rtd", , "AX", ".SPXW240129P4955")</f>
        <v>C</v>
      </c>
      <c r="Q151" t="str">
        <f>RTD("tos.rtd", , "VOLUME", ".SPXW240129P4955")</f>
        <v>N/A</v>
      </c>
      <c r="R151">
        <f>RTD("tos.rtd", , "OPEN_INT", ".SPXW240129P4955")</f>
        <v>0</v>
      </c>
      <c r="S151">
        <f>RTD("tos.rtd", , "DELTA", ".SPXW240129P4955")</f>
        <v>-7.0000000000000007E-2</v>
      </c>
      <c r="T151">
        <f>RTD("tos.rtd", , "GAMMA", ".SPXW240129P4955")</f>
        <v>0</v>
      </c>
    </row>
    <row r="152" spans="3:20" x14ac:dyDescent="0.25">
      <c r="C152" t="str">
        <f>RTD("tos.rtd", , "VOLUME", ".SPXW240129C4960")</f>
        <v>N/A</v>
      </c>
      <c r="D152">
        <f>RTD("tos.rtd", , "OPEN_INT", ".SPXW240129C4960")</f>
        <v>7116</v>
      </c>
      <c r="E152">
        <f>RTD("tos.rtd", , "DELTA", ".SPXW240129C4960")</f>
        <v>1</v>
      </c>
      <c r="F152">
        <f>RTD("tos.rtd", , "GAMMA", ".SPXW240129C4960")</f>
        <v>0</v>
      </c>
      <c r="G152">
        <f>RTD("tos.rtd", , "BID", ".SPXW240129C4960")</f>
        <v>0</v>
      </c>
      <c r="H152" t="str">
        <f>RTD("tos.rtd", , "BX", ".SPXW240129C4960")</f>
        <v>C</v>
      </c>
      <c r="I152">
        <f>RTD("tos.rtd", , "ASK", ".SPXW240129C4960")</f>
        <v>0.05</v>
      </c>
      <c r="J152" t="str">
        <f>RTD("tos.rtd", , "AX", ".SPXW240129C4960")</f>
        <v>C</v>
      </c>
      <c r="K152" t="str">
        <f>RTD("tos.rtd", , "EXPIRATION_DAY", ".SPXW240129C4960")</f>
        <v>2024-01-29</v>
      </c>
      <c r="L152">
        <f>RTD("tos.rtd", , "STRIKE", ".SPXW240129C4960")</f>
        <v>4960</v>
      </c>
      <c r="M152">
        <f>RTD("tos.rtd", , "BID", ".SPXW240129P4960")</f>
        <v>28.6</v>
      </c>
      <c r="N152" t="str">
        <f>RTD("tos.rtd", , "BX", ".SPXW240129P4960")</f>
        <v>C</v>
      </c>
      <c r="O152">
        <f>RTD("tos.rtd", , "ASK", ".SPXW240129P4960")</f>
        <v>34.9</v>
      </c>
      <c r="P152" t="str">
        <f>RTD("tos.rtd", , "AX", ".SPXW240129P4960")</f>
        <v>C</v>
      </c>
      <c r="Q152" t="str">
        <f>RTD("tos.rtd", , "VOLUME", ".SPXW240129P4960")</f>
        <v>N/A</v>
      </c>
      <c r="R152">
        <f>RTD("tos.rtd", , "OPEN_INT", ".SPXW240129P4960")</f>
        <v>0</v>
      </c>
      <c r="S152">
        <f>RTD("tos.rtd", , "DELTA", ".SPXW240129P4960")</f>
        <v>-0.08</v>
      </c>
      <c r="T152">
        <f>RTD("tos.rtd", , "GAMMA", ".SPXW240129P4960")</f>
        <v>0</v>
      </c>
    </row>
    <row r="153" spans="3:20" x14ac:dyDescent="0.25">
      <c r="C153" t="str">
        <f>RTD("tos.rtd", , "VOLUME", ".SPXW240129C4965")</f>
        <v>N/A</v>
      </c>
      <c r="D153">
        <f>RTD("tos.rtd", , "OPEN_INT", ".SPXW240129C4965")</f>
        <v>5156</v>
      </c>
      <c r="E153">
        <f>RTD("tos.rtd", , "DELTA", ".SPXW240129C4965")</f>
        <v>1</v>
      </c>
      <c r="F153">
        <f>RTD("tos.rtd", , "GAMMA", ".SPXW240129C4965")</f>
        <v>0</v>
      </c>
      <c r="G153">
        <f>RTD("tos.rtd", , "BID", ".SPXW240129C4965")</f>
        <v>0</v>
      </c>
      <c r="H153" t="str">
        <f>RTD("tos.rtd", , "BX", ".SPXW240129C4965")</f>
        <v>C</v>
      </c>
      <c r="I153">
        <f>RTD("tos.rtd", , "ASK", ".SPXW240129C4965")</f>
        <v>0.05</v>
      </c>
      <c r="J153" t="str">
        <f>RTD("tos.rtd", , "AX", ".SPXW240129C4965")</f>
        <v>C</v>
      </c>
      <c r="K153" t="str">
        <f>RTD("tos.rtd", , "EXPIRATION_DAY", ".SPXW240129C4965")</f>
        <v>2024-01-29</v>
      </c>
      <c r="L153">
        <f>RTD("tos.rtd", , "STRIKE", ".SPXW240129C4965")</f>
        <v>4965</v>
      </c>
      <c r="M153">
        <f>RTD("tos.rtd", , "BID", ".SPXW240129P4965")</f>
        <v>33.6</v>
      </c>
      <c r="N153" t="str">
        <f>RTD("tos.rtd", , "BX", ".SPXW240129P4965")</f>
        <v>C</v>
      </c>
      <c r="O153">
        <f>RTD("tos.rtd", , "ASK", ".SPXW240129P4965")</f>
        <v>39.9</v>
      </c>
      <c r="P153" t="str">
        <f>RTD("tos.rtd", , "AX", ".SPXW240129P4965")</f>
        <v>C</v>
      </c>
      <c r="Q153" t="str">
        <f>RTD("tos.rtd", , "VOLUME", ".SPXW240129P4965")</f>
        <v>N/A</v>
      </c>
      <c r="R153">
        <f>RTD("tos.rtd", , "OPEN_INT", ".SPXW240129P4965")</f>
        <v>0</v>
      </c>
      <c r="S153">
        <f>RTD("tos.rtd", , "DELTA", ".SPXW240129P4965")</f>
        <v>-0.09</v>
      </c>
      <c r="T153">
        <f>RTD("tos.rtd", , "GAMMA", ".SPXW240129P4965")</f>
        <v>0</v>
      </c>
    </row>
    <row r="154" spans="3:20" x14ac:dyDescent="0.25">
      <c r="C154" t="str">
        <f>RTD("tos.rtd", , "VOLUME", ".SPXW240129C4970")</f>
        <v>N/A</v>
      </c>
      <c r="D154">
        <f>RTD("tos.rtd", , "OPEN_INT", ".SPXW240129C4970")</f>
        <v>4722</v>
      </c>
      <c r="E154">
        <f>RTD("tos.rtd", , "DELTA", ".SPXW240129C4970")</f>
        <v>1</v>
      </c>
      <c r="F154">
        <f>RTD("tos.rtd", , "GAMMA", ".SPXW240129C4970")</f>
        <v>0</v>
      </c>
      <c r="G154">
        <f>RTD("tos.rtd", , "BID", ".SPXW240129C4970")</f>
        <v>0</v>
      </c>
      <c r="H154" t="str">
        <f>RTD("tos.rtd", , "BX", ".SPXW240129C4970")</f>
        <v>C</v>
      </c>
      <c r="I154">
        <f>RTD("tos.rtd", , "ASK", ".SPXW240129C4970")</f>
        <v>0.05</v>
      </c>
      <c r="J154" t="str">
        <f>RTD("tos.rtd", , "AX", ".SPXW240129C4970")</f>
        <v>C</v>
      </c>
      <c r="K154" t="str">
        <f>RTD("tos.rtd", , "EXPIRATION_DAY", ".SPXW240129C4970")</f>
        <v>2024-01-29</v>
      </c>
      <c r="L154">
        <f>RTD("tos.rtd", , "STRIKE", ".SPXW240129C4970")</f>
        <v>4970</v>
      </c>
      <c r="M154">
        <f>RTD("tos.rtd", , "BID", ".SPXW240129P4970")</f>
        <v>38.6</v>
      </c>
      <c r="N154" t="str">
        <f>RTD("tos.rtd", , "BX", ".SPXW240129P4970")</f>
        <v>C</v>
      </c>
      <c r="O154">
        <f>RTD("tos.rtd", , "ASK", ".SPXW240129P4970")</f>
        <v>44.9</v>
      </c>
      <c r="P154" t="str">
        <f>RTD("tos.rtd", , "AX", ".SPXW240129P4970")</f>
        <v>C</v>
      </c>
      <c r="Q154" t="str">
        <f>RTD("tos.rtd", , "VOLUME", ".SPXW240129P4970")</f>
        <v>N/A</v>
      </c>
      <c r="R154">
        <f>RTD("tos.rtd", , "OPEN_INT", ".SPXW240129P4970")</f>
        <v>0</v>
      </c>
      <c r="S154">
        <f>RTD("tos.rtd", , "DELTA", ".SPXW240129P4970")</f>
        <v>-0.1</v>
      </c>
      <c r="T154">
        <f>RTD("tos.rtd", , "GAMMA", ".SPXW240129P4970")</f>
        <v>0</v>
      </c>
    </row>
    <row r="155" spans="3:20" x14ac:dyDescent="0.25">
      <c r="C155" t="str">
        <f>RTD("tos.rtd", , "VOLUME", ".SPXW240129C4975")</f>
        <v>N/A</v>
      </c>
      <c r="D155">
        <f>RTD("tos.rtd", , "OPEN_INT", ".SPXW240129C4975")</f>
        <v>3794</v>
      </c>
      <c r="E155">
        <f>RTD("tos.rtd", , "DELTA", ".SPXW240129C4975")</f>
        <v>1</v>
      </c>
      <c r="F155">
        <f>RTD("tos.rtd", , "GAMMA", ".SPXW240129C4975")</f>
        <v>0</v>
      </c>
      <c r="G155">
        <f>RTD("tos.rtd", , "BID", ".SPXW240129C4975")</f>
        <v>0</v>
      </c>
      <c r="H155" t="str">
        <f>RTD("tos.rtd", , "BX", ".SPXW240129C4975")</f>
        <v>C</v>
      </c>
      <c r="I155">
        <f>RTD("tos.rtd", , "ASK", ".SPXW240129C4975")</f>
        <v>0.05</v>
      </c>
      <c r="J155" t="str">
        <f>RTD("tos.rtd", , "AX", ".SPXW240129C4975")</f>
        <v>C</v>
      </c>
      <c r="K155" t="str">
        <f>RTD("tos.rtd", , "EXPIRATION_DAY", ".SPXW240129C4975")</f>
        <v>2024-01-29</v>
      </c>
      <c r="L155">
        <f>RTD("tos.rtd", , "STRIKE", ".SPXW240129C4975")</f>
        <v>4975</v>
      </c>
      <c r="M155">
        <f>RTD("tos.rtd", , "BID", ".SPXW240129P4975")</f>
        <v>43.6</v>
      </c>
      <c r="N155" t="str">
        <f>RTD("tos.rtd", , "BX", ".SPXW240129P4975")</f>
        <v>C</v>
      </c>
      <c r="O155">
        <f>RTD("tos.rtd", , "ASK", ".SPXW240129P4975")</f>
        <v>49.9</v>
      </c>
      <c r="P155" t="str">
        <f>RTD("tos.rtd", , "AX", ".SPXW240129P4975")</f>
        <v>C</v>
      </c>
      <c r="Q155" t="str">
        <f>RTD("tos.rtd", , "VOLUME", ".SPXW240129P4975")</f>
        <v>N/A</v>
      </c>
      <c r="R155">
        <f>RTD("tos.rtd", , "OPEN_INT", ".SPXW240129P4975")</f>
        <v>0</v>
      </c>
      <c r="S155">
        <f>RTD("tos.rtd", , "DELTA", ".SPXW240129P4975")</f>
        <v>-0.11</v>
      </c>
      <c r="T155">
        <f>RTD("tos.rtd", , "GAMMA", ".SPXW240129P4975")</f>
        <v>0</v>
      </c>
    </row>
    <row r="156" spans="3:20" x14ac:dyDescent="0.25">
      <c r="C156" t="str">
        <f>RTD("tos.rtd", , "VOLUME", ".SPXW240129C4980")</f>
        <v>N/A</v>
      </c>
      <c r="D156">
        <f>RTD("tos.rtd", , "OPEN_INT", ".SPXW240129C4980")</f>
        <v>2624</v>
      </c>
      <c r="E156">
        <f>RTD("tos.rtd", , "DELTA", ".SPXW240129C4980")</f>
        <v>1</v>
      </c>
      <c r="F156">
        <f>RTD("tos.rtd", , "GAMMA", ".SPXW240129C4980")</f>
        <v>0</v>
      </c>
      <c r="G156">
        <f>RTD("tos.rtd", , "BID", ".SPXW240129C4980")</f>
        <v>0</v>
      </c>
      <c r="H156" t="str">
        <f>RTD("tos.rtd", , "BX", ".SPXW240129C4980")</f>
        <v>C</v>
      </c>
      <c r="I156">
        <f>RTD("tos.rtd", , "ASK", ".SPXW240129C4980")</f>
        <v>0.05</v>
      </c>
      <c r="J156" t="str">
        <f>RTD("tos.rtd", , "AX", ".SPXW240129C4980")</f>
        <v>C</v>
      </c>
      <c r="K156" t="str">
        <f>RTD("tos.rtd", , "EXPIRATION_DAY", ".SPXW240129C4980")</f>
        <v>2024-01-29</v>
      </c>
      <c r="L156">
        <f>RTD("tos.rtd", , "STRIKE", ".SPXW240129C4980")</f>
        <v>4980</v>
      </c>
      <c r="M156">
        <f>RTD("tos.rtd", , "BID", ".SPXW240129P4980")</f>
        <v>48.6</v>
      </c>
      <c r="N156" t="str">
        <f>RTD("tos.rtd", , "BX", ".SPXW240129P4980")</f>
        <v>C</v>
      </c>
      <c r="O156">
        <f>RTD("tos.rtd", , "ASK", ".SPXW240129P4980")</f>
        <v>54.9</v>
      </c>
      <c r="P156" t="str">
        <f>RTD("tos.rtd", , "AX", ".SPXW240129P4980")</f>
        <v>C</v>
      </c>
      <c r="Q156" t="str">
        <f>RTD("tos.rtd", , "VOLUME", ".SPXW240129P4980")</f>
        <v>N/A</v>
      </c>
      <c r="R156">
        <f>RTD("tos.rtd", , "OPEN_INT", ".SPXW240129P4980")</f>
        <v>0</v>
      </c>
      <c r="S156">
        <f>RTD("tos.rtd", , "DELTA", ".SPXW240129P4980")</f>
        <v>-0.11</v>
      </c>
      <c r="T156">
        <f>RTD("tos.rtd", , "GAMMA", ".SPXW240129P4980")</f>
        <v>0</v>
      </c>
    </row>
    <row r="157" spans="3:20" x14ac:dyDescent="0.25">
      <c r="C157" t="str">
        <f>RTD("tos.rtd", , "VOLUME", ".SPXW240129C4985")</f>
        <v>N/A</v>
      </c>
      <c r="D157">
        <f>RTD("tos.rtd", , "OPEN_INT", ".SPXW240129C4985")</f>
        <v>533</v>
      </c>
      <c r="E157">
        <f>RTD("tos.rtd", , "DELTA", ".SPXW240129C4985")</f>
        <v>1</v>
      </c>
      <c r="F157">
        <f>RTD("tos.rtd", , "GAMMA", ".SPXW240129C4985")</f>
        <v>0</v>
      </c>
      <c r="G157">
        <f>RTD("tos.rtd", , "BID", ".SPXW240129C4985")</f>
        <v>0</v>
      </c>
      <c r="H157" t="str">
        <f>RTD("tos.rtd", , "BX", ".SPXW240129C4985")</f>
        <v>C</v>
      </c>
      <c r="I157">
        <f>RTD("tos.rtd", , "ASK", ".SPXW240129C4985")</f>
        <v>0.05</v>
      </c>
      <c r="J157" t="str">
        <f>RTD("tos.rtd", , "AX", ".SPXW240129C4985")</f>
        <v>C</v>
      </c>
      <c r="K157" t="str">
        <f>RTD("tos.rtd", , "EXPIRATION_DAY", ".SPXW240129C4985")</f>
        <v>2024-01-29</v>
      </c>
      <c r="L157">
        <f>RTD("tos.rtd", , "STRIKE", ".SPXW240129C4985")</f>
        <v>4985</v>
      </c>
      <c r="M157">
        <f>RTD("tos.rtd", , "BID", ".SPXW240129P4985")</f>
        <v>53.6</v>
      </c>
      <c r="N157" t="str">
        <f>RTD("tos.rtd", , "BX", ".SPXW240129P4985")</f>
        <v>C</v>
      </c>
      <c r="O157">
        <f>RTD("tos.rtd", , "ASK", ".SPXW240129P4985")</f>
        <v>59.9</v>
      </c>
      <c r="P157" t="str">
        <f>RTD("tos.rtd", , "AX", ".SPXW240129P4985")</f>
        <v>C</v>
      </c>
      <c r="Q157" t="str">
        <f>RTD("tos.rtd", , "VOLUME", ".SPXW240129P4985")</f>
        <v>N/A</v>
      </c>
      <c r="R157">
        <f>RTD("tos.rtd", , "OPEN_INT", ".SPXW240129P4985")</f>
        <v>0</v>
      </c>
      <c r="S157">
        <f>RTD("tos.rtd", , "DELTA", ".SPXW240129P4985")</f>
        <v>-0.12</v>
      </c>
      <c r="T157">
        <f>RTD("tos.rtd", , "GAMMA", ".SPXW240129P4985")</f>
        <v>0</v>
      </c>
    </row>
    <row r="158" spans="3:20" x14ac:dyDescent="0.25">
      <c r="C158" t="str">
        <f>RTD("tos.rtd", , "VOLUME", ".SPXW240129C4990")</f>
        <v>N/A</v>
      </c>
      <c r="D158">
        <f>RTD("tos.rtd", , "OPEN_INT", ".SPXW240129C4990")</f>
        <v>1032</v>
      </c>
      <c r="E158">
        <f>RTD("tos.rtd", , "DELTA", ".SPXW240129C4990")</f>
        <v>1</v>
      </c>
      <c r="F158">
        <f>RTD("tos.rtd", , "GAMMA", ".SPXW240129C4990")</f>
        <v>0</v>
      </c>
      <c r="G158">
        <f>RTD("tos.rtd", , "BID", ".SPXW240129C4990")</f>
        <v>0</v>
      </c>
      <c r="H158" t="str">
        <f>RTD("tos.rtd", , "BX", ".SPXW240129C4990")</f>
        <v>C</v>
      </c>
      <c r="I158">
        <f>RTD("tos.rtd", , "ASK", ".SPXW240129C4990")</f>
        <v>0.05</v>
      </c>
      <c r="J158" t="str">
        <f>RTD("tos.rtd", , "AX", ".SPXW240129C4990")</f>
        <v>C</v>
      </c>
      <c r="K158" t="str">
        <f>RTD("tos.rtd", , "EXPIRATION_DAY", ".SPXW240129C4990")</f>
        <v>2024-01-29</v>
      </c>
      <c r="L158">
        <f>RTD("tos.rtd", , "STRIKE", ".SPXW240129C4990")</f>
        <v>4990</v>
      </c>
      <c r="M158">
        <f>RTD("tos.rtd", , "BID", ".SPXW240129P4990")</f>
        <v>58.6</v>
      </c>
      <c r="N158" t="str">
        <f>RTD("tos.rtd", , "BX", ".SPXW240129P4990")</f>
        <v>C</v>
      </c>
      <c r="O158">
        <f>RTD("tos.rtd", , "ASK", ".SPXW240129P4990")</f>
        <v>64.900000000000006</v>
      </c>
      <c r="P158" t="str">
        <f>RTD("tos.rtd", , "AX", ".SPXW240129P4990")</f>
        <v>C</v>
      </c>
      <c r="Q158" t="str">
        <f>RTD("tos.rtd", , "VOLUME", ".SPXW240129P4990")</f>
        <v>N/A</v>
      </c>
      <c r="R158">
        <f>RTD("tos.rtd", , "OPEN_INT", ".SPXW240129P4990")</f>
        <v>0</v>
      </c>
      <c r="S158">
        <f>RTD("tos.rtd", , "DELTA", ".SPXW240129P4990")</f>
        <v>-0.12</v>
      </c>
      <c r="T158">
        <f>RTD("tos.rtd", , "GAMMA", ".SPXW240129P4990")</f>
        <v>0</v>
      </c>
    </row>
    <row r="159" spans="3:20" x14ac:dyDescent="0.25">
      <c r="C159" t="str">
        <f>RTD("tos.rtd", , "VOLUME", ".SPXW240129C4995")</f>
        <v>N/A</v>
      </c>
      <c r="D159">
        <f>RTD("tos.rtd", , "OPEN_INT", ".SPXW240129C4995")</f>
        <v>390</v>
      </c>
      <c r="E159">
        <f>RTD("tos.rtd", , "DELTA", ".SPXW240129C4995")</f>
        <v>1</v>
      </c>
      <c r="F159">
        <f>RTD("tos.rtd", , "GAMMA", ".SPXW240129C4995")</f>
        <v>0</v>
      </c>
      <c r="G159">
        <f>RTD("tos.rtd", , "BID", ".SPXW240129C4995")</f>
        <v>0</v>
      </c>
      <c r="H159" t="str">
        <f>RTD("tos.rtd", , "BX", ".SPXW240129C4995")</f>
        <v>C</v>
      </c>
      <c r="I159">
        <f>RTD("tos.rtd", , "ASK", ".SPXW240129C4995")</f>
        <v>0.05</v>
      </c>
      <c r="J159" t="str">
        <f>RTD("tos.rtd", , "AX", ".SPXW240129C4995")</f>
        <v>C</v>
      </c>
      <c r="K159" t="str">
        <f>RTD("tos.rtd", , "EXPIRATION_DAY", ".SPXW240129C4995")</f>
        <v>2024-01-29</v>
      </c>
      <c r="L159">
        <f>RTD("tos.rtd", , "STRIKE", ".SPXW240129C4995")</f>
        <v>4995</v>
      </c>
      <c r="M159">
        <f>RTD("tos.rtd", , "BID", ".SPXW240129P4995")</f>
        <v>63.6</v>
      </c>
      <c r="N159" t="str">
        <f>RTD("tos.rtd", , "BX", ".SPXW240129P4995")</f>
        <v>C</v>
      </c>
      <c r="O159">
        <f>RTD("tos.rtd", , "ASK", ".SPXW240129P4995")</f>
        <v>69.900000000000006</v>
      </c>
      <c r="P159" t="str">
        <f>RTD("tos.rtd", , "AX", ".SPXW240129P4995")</f>
        <v>C</v>
      </c>
      <c r="Q159" t="str">
        <f>RTD("tos.rtd", , "VOLUME", ".SPXW240129P4995")</f>
        <v>N/A</v>
      </c>
      <c r="R159">
        <f>RTD("tos.rtd", , "OPEN_INT", ".SPXW240129P4995")</f>
        <v>0</v>
      </c>
      <c r="S159">
        <f>RTD("tos.rtd", , "DELTA", ".SPXW240129P4995")</f>
        <v>-0.13</v>
      </c>
      <c r="T159">
        <f>RTD("tos.rtd", , "GAMMA", ".SPXW240129P4995")</f>
        <v>0</v>
      </c>
    </row>
    <row r="160" spans="3:20" x14ac:dyDescent="0.25">
      <c r="C160" t="str">
        <f>RTD("tos.rtd", , "VOLUME", ".SPXW240129C5000")</f>
        <v>N/A</v>
      </c>
      <c r="D160">
        <f>RTD("tos.rtd", , "OPEN_INT", ".SPXW240129C5000")</f>
        <v>3770</v>
      </c>
      <c r="E160">
        <f>RTD("tos.rtd", , "DELTA", ".SPXW240129C5000")</f>
        <v>1</v>
      </c>
      <c r="F160">
        <f>RTD("tos.rtd", , "GAMMA", ".SPXW240129C5000")</f>
        <v>0</v>
      </c>
      <c r="G160">
        <f>RTD("tos.rtd", , "BID", ".SPXW240129C5000")</f>
        <v>0</v>
      </c>
      <c r="H160" t="str">
        <f>RTD("tos.rtd", , "BX", ".SPXW240129C5000")</f>
        <v>C</v>
      </c>
      <c r="I160">
        <f>RTD("tos.rtd", , "ASK", ".SPXW240129C5000")</f>
        <v>0.05</v>
      </c>
      <c r="J160" t="str">
        <f>RTD("tos.rtd", , "AX", ".SPXW240129C5000")</f>
        <v>C</v>
      </c>
      <c r="K160" t="str">
        <f>RTD("tos.rtd", , "EXPIRATION_DAY", ".SPXW240129C5000")</f>
        <v>2024-01-29</v>
      </c>
      <c r="L160">
        <f>RTD("tos.rtd", , "STRIKE", ".SPXW240129C5000")</f>
        <v>5000</v>
      </c>
      <c r="M160">
        <f>RTD("tos.rtd", , "BID", ".SPXW240129P5000")</f>
        <v>68.599999999999994</v>
      </c>
      <c r="N160" t="str">
        <f>RTD("tos.rtd", , "BX", ".SPXW240129P5000")</f>
        <v>C</v>
      </c>
      <c r="O160">
        <f>RTD("tos.rtd", , "ASK", ".SPXW240129P5000")</f>
        <v>74.900000000000006</v>
      </c>
      <c r="P160" t="str">
        <f>RTD("tos.rtd", , "AX", ".SPXW240129P5000")</f>
        <v>C</v>
      </c>
      <c r="Q160" t="str">
        <f>RTD("tos.rtd", , "VOLUME", ".SPXW240129P5000")</f>
        <v>N/A</v>
      </c>
      <c r="R160">
        <f>RTD("tos.rtd", , "OPEN_INT", ".SPXW240129P5000")</f>
        <v>0</v>
      </c>
      <c r="S160">
        <f>RTD("tos.rtd", , "DELTA", ".SPXW240129P5000")</f>
        <v>-0.14000000000000001</v>
      </c>
      <c r="T160">
        <f>RTD("tos.rtd", , "GAMMA", ".SPXW240129P5000")</f>
        <v>0</v>
      </c>
    </row>
    <row r="161" spans="3:20" x14ac:dyDescent="0.25">
      <c r="C161" t="str">
        <f>RTD("tos.rtd", , "VOLUME", ".SPXW240129C5005")</f>
        <v>N/A</v>
      </c>
      <c r="D161">
        <f>RTD("tos.rtd", , "OPEN_INT", ".SPXW240129C5005")</f>
        <v>1248</v>
      </c>
      <c r="E161">
        <f>RTD("tos.rtd", , "DELTA", ".SPXW240129C5005")</f>
        <v>1</v>
      </c>
      <c r="F161">
        <f>RTD("tos.rtd", , "GAMMA", ".SPXW240129C5005")</f>
        <v>0</v>
      </c>
      <c r="G161">
        <f>RTD("tos.rtd", , "BID", ".SPXW240129C5005")</f>
        <v>0</v>
      </c>
      <c r="H161" t="str">
        <f>RTD("tos.rtd", , "BX", ".SPXW240129C5005")</f>
        <v>C</v>
      </c>
      <c r="I161">
        <f>RTD("tos.rtd", , "ASK", ".SPXW240129C5005")</f>
        <v>0.05</v>
      </c>
      <c r="J161" t="str">
        <f>RTD("tos.rtd", , "AX", ".SPXW240129C5005")</f>
        <v>C</v>
      </c>
      <c r="K161" t="str">
        <f>RTD("tos.rtd", , "EXPIRATION_DAY", ".SPXW240129C5005")</f>
        <v>2024-01-29</v>
      </c>
      <c r="L161">
        <f>RTD("tos.rtd", , "STRIKE", ".SPXW240129C5005")</f>
        <v>5005</v>
      </c>
      <c r="M161">
        <f>RTD("tos.rtd", , "BID", ".SPXW240129P5005")</f>
        <v>73.599999999999994</v>
      </c>
      <c r="N161" t="str">
        <f>RTD("tos.rtd", , "BX", ".SPXW240129P5005")</f>
        <v>C</v>
      </c>
      <c r="O161">
        <f>RTD("tos.rtd", , "ASK", ".SPXW240129P5005")</f>
        <v>79.900000000000006</v>
      </c>
      <c r="P161" t="str">
        <f>RTD("tos.rtd", , "AX", ".SPXW240129P5005")</f>
        <v>C</v>
      </c>
      <c r="Q161" t="str">
        <f>RTD("tos.rtd", , "VOLUME", ".SPXW240129P5005")</f>
        <v>N/A</v>
      </c>
      <c r="R161">
        <f>RTD("tos.rtd", , "OPEN_INT", ".SPXW240129P5005")</f>
        <v>0</v>
      </c>
      <c r="S161">
        <f>RTD("tos.rtd", , "DELTA", ".SPXW240129P5005")</f>
        <v>-0.14000000000000001</v>
      </c>
      <c r="T161">
        <f>RTD("tos.rtd", , "GAMMA", ".SPXW240129P5005")</f>
        <v>0</v>
      </c>
    </row>
    <row r="162" spans="3:20" x14ac:dyDescent="0.25">
      <c r="C162" t="str">
        <f>RTD("tos.rtd", , "VOLUME", ".SPXW240129C5010")</f>
        <v>N/A</v>
      </c>
      <c r="D162">
        <f>RTD("tos.rtd", , "OPEN_INT", ".SPXW240129C5010")</f>
        <v>1186</v>
      </c>
      <c r="E162">
        <f>RTD("tos.rtd", , "DELTA", ".SPXW240129C5010")</f>
        <v>1</v>
      </c>
      <c r="F162">
        <f>RTD("tos.rtd", , "GAMMA", ".SPXW240129C5010")</f>
        <v>0</v>
      </c>
      <c r="G162">
        <f>RTD("tos.rtd", , "BID", ".SPXW240129C5010")</f>
        <v>0</v>
      </c>
      <c r="H162" t="str">
        <f>RTD("tos.rtd", , "BX", ".SPXW240129C5010")</f>
        <v>C</v>
      </c>
      <c r="I162">
        <f>RTD("tos.rtd", , "ASK", ".SPXW240129C5010")</f>
        <v>0.05</v>
      </c>
      <c r="J162" t="str">
        <f>RTD("tos.rtd", , "AX", ".SPXW240129C5010")</f>
        <v>C</v>
      </c>
      <c r="K162" t="str">
        <f>RTD("tos.rtd", , "EXPIRATION_DAY", ".SPXW240129C5010")</f>
        <v>2024-01-29</v>
      </c>
      <c r="L162">
        <f>RTD("tos.rtd", , "STRIKE", ".SPXW240129C5010")</f>
        <v>5010</v>
      </c>
      <c r="M162">
        <f>RTD("tos.rtd", , "BID", ".SPXW240129P5010")</f>
        <v>78.599999999999994</v>
      </c>
      <c r="N162" t="str">
        <f>RTD("tos.rtd", , "BX", ".SPXW240129P5010")</f>
        <v>C</v>
      </c>
      <c r="O162">
        <f>RTD("tos.rtd", , "ASK", ".SPXW240129P5010")</f>
        <v>84.9</v>
      </c>
      <c r="P162" t="str">
        <f>RTD("tos.rtd", , "AX", ".SPXW240129P5010")</f>
        <v>C</v>
      </c>
      <c r="Q162" t="str">
        <f>RTD("tos.rtd", , "VOLUME", ".SPXW240129P5010")</f>
        <v>N/A</v>
      </c>
      <c r="R162">
        <f>RTD("tos.rtd", , "OPEN_INT", ".SPXW240129P5010")</f>
        <v>0</v>
      </c>
      <c r="S162">
        <f>RTD("tos.rtd", , "DELTA", ".SPXW240129P5010")</f>
        <v>-0.15</v>
      </c>
      <c r="T162">
        <f>RTD("tos.rtd", , "GAMMA", ".SPXW240129P5010")</f>
        <v>0</v>
      </c>
    </row>
    <row r="163" spans="3:20" x14ac:dyDescent="0.25">
      <c r="C163" t="str">
        <f>RTD("tos.rtd", , "VOLUME", ".SPXW240129C5015")</f>
        <v>N/A</v>
      </c>
      <c r="D163">
        <f>RTD("tos.rtd", , "OPEN_INT", ".SPXW240129C5015")</f>
        <v>66</v>
      </c>
      <c r="E163">
        <f>RTD("tos.rtd", , "DELTA", ".SPXW240129C5015")</f>
        <v>1</v>
      </c>
      <c r="F163">
        <f>RTD("tos.rtd", , "GAMMA", ".SPXW240129C5015")</f>
        <v>0</v>
      </c>
      <c r="G163">
        <f>RTD("tos.rtd", , "BID", ".SPXW240129C5015")</f>
        <v>0</v>
      </c>
      <c r="H163" t="str">
        <f>RTD("tos.rtd", , "BX", ".SPXW240129C5015")</f>
        <v>C</v>
      </c>
      <c r="I163">
        <f>RTD("tos.rtd", , "ASK", ".SPXW240129C5015")</f>
        <v>0.05</v>
      </c>
      <c r="J163" t="str">
        <f>RTD("tos.rtd", , "AX", ".SPXW240129C5015")</f>
        <v>C</v>
      </c>
      <c r="K163" t="str">
        <f>RTD("tos.rtd", , "EXPIRATION_DAY", ".SPXW240129C5015")</f>
        <v>2024-01-29</v>
      </c>
      <c r="L163">
        <f>RTD("tos.rtd", , "STRIKE", ".SPXW240129C5015")</f>
        <v>5015</v>
      </c>
      <c r="M163">
        <f>RTD("tos.rtd", , "BID", ".SPXW240129P5015")</f>
        <v>83.6</v>
      </c>
      <c r="N163" t="str">
        <f>RTD("tos.rtd", , "BX", ".SPXW240129P5015")</f>
        <v>C</v>
      </c>
      <c r="O163">
        <f>RTD("tos.rtd", , "ASK", ".SPXW240129P5015")</f>
        <v>89.9</v>
      </c>
      <c r="P163" t="str">
        <f>RTD("tos.rtd", , "AX", ".SPXW240129P5015")</f>
        <v>C</v>
      </c>
      <c r="Q163" t="str">
        <f>RTD("tos.rtd", , "VOLUME", ".SPXW240129P5015")</f>
        <v>N/A</v>
      </c>
      <c r="R163">
        <f>RTD("tos.rtd", , "OPEN_INT", ".SPXW240129P5015")</f>
        <v>0</v>
      </c>
      <c r="S163">
        <f>RTD("tos.rtd", , "DELTA", ".SPXW240129P5015")</f>
        <v>-0.15</v>
      </c>
      <c r="T163">
        <f>RTD("tos.rtd", , "GAMMA", ".SPXW240129P5015")</f>
        <v>0</v>
      </c>
    </row>
    <row r="164" spans="3:20" x14ac:dyDescent="0.25">
      <c r="C164" t="str">
        <f>RTD("tos.rtd", , "VOLUME", ".SPXW240129C5020")</f>
        <v>N/A</v>
      </c>
      <c r="D164">
        <f>RTD("tos.rtd", , "OPEN_INT", ".SPXW240129C5020")</f>
        <v>242</v>
      </c>
      <c r="E164">
        <f>RTD("tos.rtd", , "DELTA", ".SPXW240129C5020")</f>
        <v>1</v>
      </c>
      <c r="F164">
        <f>RTD("tos.rtd", , "GAMMA", ".SPXW240129C5020")</f>
        <v>0</v>
      </c>
      <c r="G164">
        <f>RTD("tos.rtd", , "BID", ".SPXW240129C5020")</f>
        <v>0</v>
      </c>
      <c r="H164" t="str">
        <f>RTD("tos.rtd", , "BX", ".SPXW240129C5020")</f>
        <v>C</v>
      </c>
      <c r="I164">
        <f>RTD("tos.rtd", , "ASK", ".SPXW240129C5020")</f>
        <v>0.05</v>
      </c>
      <c r="J164" t="str">
        <f>RTD("tos.rtd", , "AX", ".SPXW240129C5020")</f>
        <v>C</v>
      </c>
      <c r="K164" t="str">
        <f>RTD("tos.rtd", , "EXPIRATION_DAY", ".SPXW240129C5020")</f>
        <v>2024-01-29</v>
      </c>
      <c r="L164">
        <f>RTD("tos.rtd", , "STRIKE", ".SPXW240129C5020")</f>
        <v>5020</v>
      </c>
      <c r="M164">
        <f>RTD("tos.rtd", , "BID", ".SPXW240129P5020")</f>
        <v>88.6</v>
      </c>
      <c r="N164" t="str">
        <f>RTD("tos.rtd", , "BX", ".SPXW240129P5020")</f>
        <v>C</v>
      </c>
      <c r="O164">
        <f>RTD("tos.rtd", , "ASK", ".SPXW240129P5020")</f>
        <v>94.9</v>
      </c>
      <c r="P164" t="str">
        <f>RTD("tos.rtd", , "AX", ".SPXW240129P5020")</f>
        <v>C</v>
      </c>
      <c r="Q164" t="str">
        <f>RTD("tos.rtd", , "VOLUME", ".SPXW240129P5020")</f>
        <v>N/A</v>
      </c>
      <c r="R164">
        <f>RTD("tos.rtd", , "OPEN_INT", ".SPXW240129P5020")</f>
        <v>0</v>
      </c>
      <c r="S164">
        <f>RTD("tos.rtd", , "DELTA", ".SPXW240129P5020")</f>
        <v>-0.15</v>
      </c>
      <c r="T164">
        <f>RTD("tos.rtd", , "GAMMA", ".SPXW240129P5020")</f>
        <v>0</v>
      </c>
    </row>
    <row r="165" spans="3:20" x14ac:dyDescent="0.25">
      <c r="C165" t="str">
        <f>RTD("tos.rtd", , "VOLUME", ".SPXW240129C5025")</f>
        <v>N/A</v>
      </c>
      <c r="D165">
        <f>RTD("tos.rtd", , "OPEN_INT", ".SPXW240129C5025")</f>
        <v>1111</v>
      </c>
      <c r="E165">
        <f>RTD("tos.rtd", , "DELTA", ".SPXW240129C5025")</f>
        <v>1</v>
      </c>
      <c r="F165">
        <f>RTD("tos.rtd", , "GAMMA", ".SPXW240129C5025")</f>
        <v>0</v>
      </c>
      <c r="G165">
        <f>RTD("tos.rtd", , "BID", ".SPXW240129C5025")</f>
        <v>0</v>
      </c>
      <c r="H165" t="str">
        <f>RTD("tos.rtd", , "BX", ".SPXW240129C5025")</f>
        <v>C</v>
      </c>
      <c r="I165">
        <f>RTD("tos.rtd", , "ASK", ".SPXW240129C5025")</f>
        <v>0.05</v>
      </c>
      <c r="J165" t="str">
        <f>RTD("tos.rtd", , "AX", ".SPXW240129C5025")</f>
        <v>C</v>
      </c>
      <c r="K165" t="str">
        <f>RTD("tos.rtd", , "EXPIRATION_DAY", ".SPXW240129C5025")</f>
        <v>2024-01-29</v>
      </c>
      <c r="L165">
        <f>RTD("tos.rtd", , "STRIKE", ".SPXW240129C5025")</f>
        <v>5025</v>
      </c>
      <c r="M165">
        <f>RTD("tos.rtd", , "BID", ".SPXW240129P5025")</f>
        <v>93.6</v>
      </c>
      <c r="N165" t="str">
        <f>RTD("tos.rtd", , "BX", ".SPXW240129P5025")</f>
        <v>C</v>
      </c>
      <c r="O165">
        <f>RTD("tos.rtd", , "ASK", ".SPXW240129P5025")</f>
        <v>99.9</v>
      </c>
      <c r="P165" t="str">
        <f>RTD("tos.rtd", , "AX", ".SPXW240129P5025")</f>
        <v>C</v>
      </c>
      <c r="Q165" t="str">
        <f>RTD("tos.rtd", , "VOLUME", ".SPXW240129P5025")</f>
        <v>N/A</v>
      </c>
      <c r="R165">
        <f>RTD("tos.rtd", , "OPEN_INT", ".SPXW240129P5025")</f>
        <v>0</v>
      </c>
      <c r="S165">
        <f>RTD("tos.rtd", , "DELTA", ".SPXW240129P5025")</f>
        <v>-0.16</v>
      </c>
      <c r="T165">
        <f>RTD("tos.rtd", , "GAMMA", ".SPXW240129P5025")</f>
        <v>0</v>
      </c>
    </row>
    <row r="166" spans="3:20" x14ac:dyDescent="0.25">
      <c r="C166" t="str">
        <f>RTD("tos.rtd", , "VOLUME", ".SPXW240129C5030")</f>
        <v>N/A</v>
      </c>
      <c r="D166">
        <f>RTD("tos.rtd", , "OPEN_INT", ".SPXW240129C5030")</f>
        <v>156</v>
      </c>
      <c r="E166">
        <f>RTD("tos.rtd", , "DELTA", ".SPXW240129C5030")</f>
        <v>1</v>
      </c>
      <c r="F166">
        <f>RTD("tos.rtd", , "GAMMA", ".SPXW240129C5030")</f>
        <v>0</v>
      </c>
      <c r="G166">
        <f>RTD("tos.rtd", , "BID", ".SPXW240129C5030")</f>
        <v>0</v>
      </c>
      <c r="H166" t="str">
        <f>RTD("tos.rtd", , "BX", ".SPXW240129C5030")</f>
        <v>C</v>
      </c>
      <c r="I166">
        <f>RTD("tos.rtd", , "ASK", ".SPXW240129C5030")</f>
        <v>0.05</v>
      </c>
      <c r="J166" t="str">
        <f>RTD("tos.rtd", , "AX", ".SPXW240129C5030")</f>
        <v>C</v>
      </c>
      <c r="K166" t="str">
        <f>RTD("tos.rtd", , "EXPIRATION_DAY", ".SPXW240129C5030")</f>
        <v>2024-01-29</v>
      </c>
      <c r="L166">
        <f>RTD("tos.rtd", , "STRIKE", ".SPXW240129C5030")</f>
        <v>5030</v>
      </c>
      <c r="M166">
        <f>RTD("tos.rtd", , "BID", ".SPXW240129P5030")</f>
        <v>98.6</v>
      </c>
      <c r="N166" t="str">
        <f>RTD("tos.rtd", , "BX", ".SPXW240129P5030")</f>
        <v>C</v>
      </c>
      <c r="O166">
        <f>RTD("tos.rtd", , "ASK", ".SPXW240129P5030")</f>
        <v>104.9</v>
      </c>
      <c r="P166" t="str">
        <f>RTD("tos.rtd", , "AX", ".SPXW240129P5030")</f>
        <v>C</v>
      </c>
      <c r="Q166" t="str">
        <f>RTD("tos.rtd", , "VOLUME", ".SPXW240129P5030")</f>
        <v>N/A</v>
      </c>
      <c r="R166">
        <f>RTD("tos.rtd", , "OPEN_INT", ".SPXW240129P5030")</f>
        <v>0</v>
      </c>
      <c r="S166">
        <f>RTD("tos.rtd", , "DELTA", ".SPXW240129P5030")</f>
        <v>-0.16</v>
      </c>
      <c r="T166">
        <f>RTD("tos.rtd", , "GAMMA", ".SPXW240129P5030")</f>
        <v>0</v>
      </c>
    </row>
    <row r="167" spans="3:20" x14ac:dyDescent="0.25">
      <c r="C167" t="str">
        <f>RTD("tos.rtd", , "VOLUME", ".SPXW240129C5035")</f>
        <v>N/A</v>
      </c>
      <c r="D167">
        <f>RTD("tos.rtd", , "OPEN_INT", ".SPXW240129C5035")</f>
        <v>77</v>
      </c>
      <c r="E167">
        <f>RTD("tos.rtd", , "DELTA", ".SPXW240129C5035")</f>
        <v>1</v>
      </c>
      <c r="F167">
        <f>RTD("tos.rtd", , "GAMMA", ".SPXW240129C5035")</f>
        <v>0</v>
      </c>
      <c r="G167">
        <f>RTD("tos.rtd", , "BID", ".SPXW240129C5035")</f>
        <v>0</v>
      </c>
      <c r="H167" t="str">
        <f>RTD("tos.rtd", , "BX", ".SPXW240129C5035")</f>
        <v>C</v>
      </c>
      <c r="I167">
        <f>RTD("tos.rtd", , "ASK", ".SPXW240129C5035")</f>
        <v>0.05</v>
      </c>
      <c r="J167" t="str">
        <f>RTD("tos.rtd", , "AX", ".SPXW240129C5035")</f>
        <v>C</v>
      </c>
      <c r="K167" t="str">
        <f>RTD("tos.rtd", , "EXPIRATION_DAY", ".SPXW240129C5035")</f>
        <v>2024-01-29</v>
      </c>
      <c r="L167">
        <f>RTD("tos.rtd", , "STRIKE", ".SPXW240129C5035")</f>
        <v>5035</v>
      </c>
      <c r="M167">
        <f>RTD("tos.rtd", , "BID", ".SPXW240129P5035")</f>
        <v>103.6</v>
      </c>
      <c r="N167" t="str">
        <f>RTD("tos.rtd", , "BX", ".SPXW240129P5035")</f>
        <v>C</v>
      </c>
      <c r="O167">
        <f>RTD("tos.rtd", , "ASK", ".SPXW240129P5035")</f>
        <v>109.9</v>
      </c>
      <c r="P167" t="str">
        <f>RTD("tos.rtd", , "AX", ".SPXW240129P5035")</f>
        <v>C</v>
      </c>
      <c r="Q167" t="str">
        <f>RTD("tos.rtd", , "VOLUME", ".SPXW240129P5035")</f>
        <v>N/A</v>
      </c>
      <c r="R167">
        <f>RTD("tos.rtd", , "OPEN_INT", ".SPXW240129P5035")</f>
        <v>0</v>
      </c>
      <c r="S167">
        <f>RTD("tos.rtd", , "DELTA", ".SPXW240129P5035")</f>
        <v>-0.17</v>
      </c>
      <c r="T167">
        <f>RTD("tos.rtd", , "GAMMA", ".SPXW240129P5035")</f>
        <v>0</v>
      </c>
    </row>
    <row r="168" spans="3:20" x14ac:dyDescent="0.25">
      <c r="C168" t="str">
        <f>RTD("tos.rtd", , "VOLUME", ".SPXW240129C5040")</f>
        <v>N/A</v>
      </c>
      <c r="D168">
        <f>RTD("tos.rtd", , "OPEN_INT", ".SPXW240129C5040")</f>
        <v>583</v>
      </c>
      <c r="E168">
        <f>RTD("tos.rtd", , "DELTA", ".SPXW240129C5040")</f>
        <v>1</v>
      </c>
      <c r="F168">
        <f>RTD("tos.rtd", , "GAMMA", ".SPXW240129C5040")</f>
        <v>0</v>
      </c>
      <c r="G168">
        <f>RTD("tos.rtd", , "BID", ".SPXW240129C5040")</f>
        <v>0</v>
      </c>
      <c r="H168" t="str">
        <f>RTD("tos.rtd", , "BX", ".SPXW240129C5040")</f>
        <v>C</v>
      </c>
      <c r="I168">
        <f>RTD("tos.rtd", , "ASK", ".SPXW240129C5040")</f>
        <v>0.05</v>
      </c>
      <c r="J168" t="str">
        <f>RTD("tos.rtd", , "AX", ".SPXW240129C5040")</f>
        <v>C</v>
      </c>
      <c r="K168" t="str">
        <f>RTD("tos.rtd", , "EXPIRATION_DAY", ".SPXW240129C5040")</f>
        <v>2024-01-29</v>
      </c>
      <c r="L168">
        <f>RTD("tos.rtd", , "STRIKE", ".SPXW240129C5040")</f>
        <v>5040</v>
      </c>
      <c r="M168">
        <f>RTD("tos.rtd", , "BID", ".SPXW240129P5040")</f>
        <v>108.9</v>
      </c>
      <c r="N168" t="str">
        <f>RTD("tos.rtd", , "BX", ".SPXW240129P5040")</f>
        <v>C</v>
      </c>
      <c r="O168">
        <f>RTD("tos.rtd", , "ASK", ".SPXW240129P5040")</f>
        <v>113.8</v>
      </c>
      <c r="P168" t="str">
        <f>RTD("tos.rtd", , "AX", ".SPXW240129P5040")</f>
        <v>C</v>
      </c>
      <c r="Q168" t="str">
        <f>RTD("tos.rtd", , "VOLUME", ".SPXW240129P5040")</f>
        <v>N/A</v>
      </c>
      <c r="R168">
        <f>RTD("tos.rtd", , "OPEN_INT", ".SPXW240129P5040")</f>
        <v>0</v>
      </c>
      <c r="S168">
        <f>RTD("tos.rtd", , "DELTA", ".SPXW240129P5040")</f>
        <v>-0.17</v>
      </c>
      <c r="T168">
        <f>RTD("tos.rtd", , "GAMMA", ".SPXW240129P5040")</f>
        <v>0</v>
      </c>
    </row>
    <row r="169" spans="3:20" x14ac:dyDescent="0.25">
      <c r="C169" t="str">
        <f>RTD("tos.rtd", , "VOLUME", ".SPXW240129C5050")</f>
        <v>N/A</v>
      </c>
      <c r="D169">
        <f>RTD("tos.rtd", , "OPEN_INT", ".SPXW240129C5050")</f>
        <v>1059</v>
      </c>
      <c r="E169">
        <f>RTD("tos.rtd", , "DELTA", ".SPXW240129C5050")</f>
        <v>1</v>
      </c>
      <c r="F169">
        <f>RTD("tos.rtd", , "GAMMA", ".SPXW240129C5050")</f>
        <v>0</v>
      </c>
      <c r="G169">
        <f>RTD("tos.rtd", , "BID", ".SPXW240129C5050")</f>
        <v>0</v>
      </c>
      <c r="H169" t="str">
        <f>RTD("tos.rtd", , "BX", ".SPXW240129C5050")</f>
        <v>C</v>
      </c>
      <c r="I169">
        <f>RTD("tos.rtd", , "ASK", ".SPXW240129C5050")</f>
        <v>0.05</v>
      </c>
      <c r="J169" t="str">
        <f>RTD("tos.rtd", , "AX", ".SPXW240129C5050")</f>
        <v>C</v>
      </c>
      <c r="K169" t="str">
        <f>RTD("tos.rtd", , "EXPIRATION_DAY", ".SPXW240129C5050")</f>
        <v>2024-01-29</v>
      </c>
      <c r="L169">
        <f>RTD("tos.rtd", , "STRIKE", ".SPXW240129C5050")</f>
        <v>5050</v>
      </c>
      <c r="M169">
        <f>RTD("tos.rtd", , "BID", ".SPXW240129P5050")</f>
        <v>115.1</v>
      </c>
      <c r="N169" t="str">
        <f>RTD("tos.rtd", , "BX", ".SPXW240129P5050")</f>
        <v>C</v>
      </c>
      <c r="O169">
        <f>RTD("tos.rtd", , "ASK", ".SPXW240129P5050")</f>
        <v>127.7</v>
      </c>
      <c r="P169" t="str">
        <f>RTD("tos.rtd", , "AX", ".SPXW240129P5050")</f>
        <v>C</v>
      </c>
      <c r="Q169" t="str">
        <f>RTD("tos.rtd", , "VOLUME", ".SPXW240129P5050")</f>
        <v>N/A</v>
      </c>
      <c r="R169">
        <f>RTD("tos.rtd", , "OPEN_INT", ".SPXW240129P5050")</f>
        <v>0</v>
      </c>
      <c r="S169">
        <f>RTD("tos.rtd", , "DELTA", ".SPXW240129P5050")</f>
        <v>-0.18</v>
      </c>
      <c r="T169">
        <f>RTD("tos.rtd", , "GAMMA", ".SPXW240129P5050")</f>
        <v>0</v>
      </c>
    </row>
    <row r="170" spans="3:20" x14ac:dyDescent="0.25">
      <c r="C170" t="str">
        <f>RTD("tos.rtd", , "VOLUME", ".SPXW240129C5060")</f>
        <v>N/A</v>
      </c>
      <c r="D170">
        <f>RTD("tos.rtd", , "OPEN_INT", ".SPXW240129C5060")</f>
        <v>1352</v>
      </c>
      <c r="E170">
        <f>RTD("tos.rtd", , "DELTA", ".SPXW240129C5060")</f>
        <v>1</v>
      </c>
      <c r="F170">
        <f>RTD("tos.rtd", , "GAMMA", ".SPXW240129C5060")</f>
        <v>0</v>
      </c>
      <c r="G170">
        <f>RTD("tos.rtd", , "BID", ".SPXW240129C5060")</f>
        <v>0</v>
      </c>
      <c r="H170" t="str">
        <f>RTD("tos.rtd", , "BX", ".SPXW240129C5060")</f>
        <v>C</v>
      </c>
      <c r="I170">
        <f>RTD("tos.rtd", , "ASK", ".SPXW240129C5060")</f>
        <v>0.05</v>
      </c>
      <c r="J170" t="str">
        <f>RTD("tos.rtd", , "AX", ".SPXW240129C5060")</f>
        <v>C</v>
      </c>
      <c r="K170" t="str">
        <f>RTD("tos.rtd", , "EXPIRATION_DAY", ".SPXW240129C5060")</f>
        <v>2024-01-29</v>
      </c>
      <c r="L170">
        <f>RTD("tos.rtd", , "STRIKE", ".SPXW240129C5060")</f>
        <v>5060</v>
      </c>
      <c r="M170">
        <f>RTD("tos.rtd", , "BID", ".SPXW240129P5060")</f>
        <v>125.1</v>
      </c>
      <c r="N170" t="str">
        <f>RTD("tos.rtd", , "BX", ".SPXW240129P5060")</f>
        <v>C</v>
      </c>
      <c r="O170">
        <f>RTD("tos.rtd", , "ASK", ".SPXW240129P5060")</f>
        <v>137.69999999999999</v>
      </c>
      <c r="P170" t="str">
        <f>RTD("tos.rtd", , "AX", ".SPXW240129P5060")</f>
        <v>C</v>
      </c>
      <c r="Q170" t="str">
        <f>RTD("tos.rtd", , "VOLUME", ".SPXW240129P5060")</f>
        <v>N/A</v>
      </c>
      <c r="R170">
        <f>RTD("tos.rtd", , "OPEN_INT", ".SPXW240129P5060")</f>
        <v>0</v>
      </c>
      <c r="S170">
        <f>RTD("tos.rtd", , "DELTA", ".SPXW240129P5060")</f>
        <v>-0.19</v>
      </c>
      <c r="T170">
        <f>RTD("tos.rtd", , "GAMMA", ".SPXW240129P5060")</f>
        <v>0</v>
      </c>
    </row>
    <row r="171" spans="3:20" x14ac:dyDescent="0.25">
      <c r="C171" t="str">
        <f>RTD("tos.rtd", , "VOLUME", ".SPXW240129C5070")</f>
        <v>N/A</v>
      </c>
      <c r="D171">
        <f>RTD("tos.rtd", , "OPEN_INT", ".SPXW240129C5070")</f>
        <v>4</v>
      </c>
      <c r="E171">
        <f>RTD("tos.rtd", , "DELTA", ".SPXW240129C5070")</f>
        <v>1</v>
      </c>
      <c r="F171">
        <f>RTD("tos.rtd", , "GAMMA", ".SPXW240129C5070")</f>
        <v>0</v>
      </c>
      <c r="G171">
        <f>RTD("tos.rtd", , "BID", ".SPXW240129C5070")</f>
        <v>0</v>
      </c>
      <c r="H171" t="str">
        <f>RTD("tos.rtd", , "BX", ".SPXW240129C5070")</f>
        <v>C</v>
      </c>
      <c r="I171">
        <f>RTD("tos.rtd", , "ASK", ".SPXW240129C5070")</f>
        <v>0.05</v>
      </c>
      <c r="J171" t="str">
        <f>RTD("tos.rtd", , "AX", ".SPXW240129C5070")</f>
        <v>C</v>
      </c>
      <c r="K171" t="str">
        <f>RTD("tos.rtd", , "EXPIRATION_DAY", ".SPXW240129C5070")</f>
        <v>2024-01-29</v>
      </c>
      <c r="L171">
        <f>RTD("tos.rtd", , "STRIKE", ".SPXW240129C5070")</f>
        <v>5070</v>
      </c>
      <c r="M171">
        <f>RTD("tos.rtd", , "BID", ".SPXW240129P5070")</f>
        <v>135.1</v>
      </c>
      <c r="N171" t="str">
        <f>RTD("tos.rtd", , "BX", ".SPXW240129P5070")</f>
        <v>C</v>
      </c>
      <c r="O171">
        <f>RTD("tos.rtd", , "ASK", ".SPXW240129P5070")</f>
        <v>147.69999999999999</v>
      </c>
      <c r="P171" t="str">
        <f>RTD("tos.rtd", , "AX", ".SPXW240129P5070")</f>
        <v>C</v>
      </c>
      <c r="Q171" t="str">
        <f>RTD("tos.rtd", , "VOLUME", ".SPXW240129P5070")</f>
        <v>N/A</v>
      </c>
      <c r="R171">
        <f>RTD("tos.rtd", , "OPEN_INT", ".SPXW240129P5070")</f>
        <v>0</v>
      </c>
      <c r="S171">
        <f>RTD("tos.rtd", , "DELTA", ".SPXW240129P5070")</f>
        <v>-0.19</v>
      </c>
      <c r="T171">
        <f>RTD("tos.rtd", , "GAMMA", ".SPXW240129P5070")</f>
        <v>0</v>
      </c>
    </row>
    <row r="172" spans="3:20" x14ac:dyDescent="0.25">
      <c r="C172" t="str">
        <f>RTD("tos.rtd", , "VOLUME", ".SPXW240129C5075")</f>
        <v>N/A</v>
      </c>
      <c r="D172">
        <f>RTD("tos.rtd", , "OPEN_INT", ".SPXW240129C5075")</f>
        <v>1102</v>
      </c>
      <c r="E172">
        <f>RTD("tos.rtd", , "DELTA", ".SPXW240129C5075")</f>
        <v>1</v>
      </c>
      <c r="F172">
        <f>RTD("tos.rtd", , "GAMMA", ".SPXW240129C5075")</f>
        <v>0</v>
      </c>
      <c r="G172">
        <f>RTD("tos.rtd", , "BID", ".SPXW240129C5075")</f>
        <v>0</v>
      </c>
      <c r="H172" t="str">
        <f>RTD("tos.rtd", , "BX", ".SPXW240129C5075")</f>
        <v>C</v>
      </c>
      <c r="I172">
        <f>RTD("tos.rtd", , "ASK", ".SPXW240129C5075")</f>
        <v>0.05</v>
      </c>
      <c r="J172" t="str">
        <f>RTD("tos.rtd", , "AX", ".SPXW240129C5075")</f>
        <v>C</v>
      </c>
      <c r="K172" t="str">
        <f>RTD("tos.rtd", , "EXPIRATION_DAY", ".SPXW240129C5075")</f>
        <v>2024-01-29</v>
      </c>
      <c r="L172">
        <f>RTD("tos.rtd", , "STRIKE", ".SPXW240129C5075")</f>
        <v>5075</v>
      </c>
      <c r="M172">
        <f>RTD("tos.rtd", , "BID", ".SPXW240129P5075")</f>
        <v>140.1</v>
      </c>
      <c r="N172" t="str">
        <f>RTD("tos.rtd", , "BX", ".SPXW240129P5075")</f>
        <v>C</v>
      </c>
      <c r="O172">
        <f>RTD("tos.rtd", , "ASK", ".SPXW240129P5075")</f>
        <v>152.69999999999999</v>
      </c>
      <c r="P172" t="str">
        <f>RTD("tos.rtd", , "AX", ".SPXW240129P5075")</f>
        <v>C</v>
      </c>
      <c r="Q172" t="str">
        <f>RTD("tos.rtd", , "VOLUME", ".SPXW240129P5075")</f>
        <v>N/A</v>
      </c>
      <c r="R172">
        <f>RTD("tos.rtd", , "OPEN_INT", ".SPXW240129P5075")</f>
        <v>0</v>
      </c>
      <c r="S172">
        <f>RTD("tos.rtd", , "DELTA", ".SPXW240129P5075")</f>
        <v>-0.2</v>
      </c>
      <c r="T172">
        <f>RTD("tos.rtd", , "GAMMA", ".SPXW240129P5075")</f>
        <v>0</v>
      </c>
    </row>
    <row r="173" spans="3:20" x14ac:dyDescent="0.25">
      <c r="C173" t="str">
        <f>RTD("tos.rtd", , "VOLUME", ".SPXW240129C5080")</f>
        <v>N/A</v>
      </c>
      <c r="D173">
        <f>RTD("tos.rtd", , "OPEN_INT", ".SPXW240129C5080")</f>
        <v>35</v>
      </c>
      <c r="E173">
        <f>RTD("tos.rtd", , "DELTA", ".SPXW240129C5080")</f>
        <v>1</v>
      </c>
      <c r="F173">
        <f>RTD("tos.rtd", , "GAMMA", ".SPXW240129C5080")</f>
        <v>0</v>
      </c>
      <c r="G173">
        <f>RTD("tos.rtd", , "BID", ".SPXW240129C5080")</f>
        <v>0</v>
      </c>
      <c r="H173" t="str">
        <f>RTD("tos.rtd", , "BX", ".SPXW240129C5080")</f>
        <v>C</v>
      </c>
      <c r="I173">
        <f>RTD("tos.rtd", , "ASK", ".SPXW240129C5080")</f>
        <v>0.05</v>
      </c>
      <c r="J173" t="str">
        <f>RTD("tos.rtd", , "AX", ".SPXW240129C5080")</f>
        <v>C</v>
      </c>
      <c r="K173" t="str">
        <f>RTD("tos.rtd", , "EXPIRATION_DAY", ".SPXW240129C5080")</f>
        <v>2024-01-29</v>
      </c>
      <c r="L173">
        <f>RTD("tos.rtd", , "STRIKE", ".SPXW240129C5080")</f>
        <v>5080</v>
      </c>
      <c r="M173">
        <f>RTD("tos.rtd", , "BID", ".SPXW240129P5080")</f>
        <v>145.1</v>
      </c>
      <c r="N173" t="str">
        <f>RTD("tos.rtd", , "BX", ".SPXW240129P5080")</f>
        <v>C</v>
      </c>
      <c r="O173">
        <f>RTD("tos.rtd", , "ASK", ".SPXW240129P5080")</f>
        <v>157.69999999999999</v>
      </c>
      <c r="P173" t="str">
        <f>RTD("tos.rtd", , "AX", ".SPXW240129P5080")</f>
        <v>C</v>
      </c>
      <c r="Q173" t="str">
        <f>RTD("tos.rtd", , "VOLUME", ".SPXW240129P5080")</f>
        <v>N/A</v>
      </c>
      <c r="R173">
        <f>RTD("tos.rtd", , "OPEN_INT", ".SPXW240129P5080")</f>
        <v>0</v>
      </c>
      <c r="S173">
        <f>RTD("tos.rtd", , "DELTA", ".SPXW240129P5080")</f>
        <v>-0.2</v>
      </c>
      <c r="T173">
        <f>RTD("tos.rtd", , "GAMMA", ".SPXW240129P5080")</f>
        <v>0</v>
      </c>
    </row>
    <row r="174" spans="3:20" x14ac:dyDescent="0.25">
      <c r="C174" t="str">
        <f>RTD("tos.rtd", , "VOLUME", ".SPXW240129C5100")</f>
        <v>N/A</v>
      </c>
      <c r="D174">
        <f>RTD("tos.rtd", , "OPEN_INT", ".SPXW240129C5100")</f>
        <v>2155</v>
      </c>
      <c r="E174">
        <f>RTD("tos.rtd", , "DELTA", ".SPXW240129C5100")</f>
        <v>1</v>
      </c>
      <c r="F174">
        <f>RTD("tos.rtd", , "GAMMA", ".SPXW240129C5100")</f>
        <v>0</v>
      </c>
      <c r="G174">
        <f>RTD("tos.rtd", , "BID", ".SPXW240129C5100")</f>
        <v>0</v>
      </c>
      <c r="H174" t="str">
        <f>RTD("tos.rtd", , "BX", ".SPXW240129C5100")</f>
        <v>C</v>
      </c>
      <c r="I174">
        <f>RTD("tos.rtd", , "ASK", ".SPXW240129C5100")</f>
        <v>0.05</v>
      </c>
      <c r="J174" t="str">
        <f>RTD("tos.rtd", , "AX", ".SPXW240129C5100")</f>
        <v>C</v>
      </c>
      <c r="K174" t="str">
        <f>RTD("tos.rtd", , "EXPIRATION_DAY", ".SPXW240129C5100")</f>
        <v>2024-01-29</v>
      </c>
      <c r="L174">
        <f>RTD("tos.rtd", , "STRIKE", ".SPXW240129C5100")</f>
        <v>5100</v>
      </c>
      <c r="M174">
        <f>RTD("tos.rtd", , "BID", ".SPXW240129P5100")</f>
        <v>165.1</v>
      </c>
      <c r="N174" t="str">
        <f>RTD("tos.rtd", , "BX", ".SPXW240129P5100")</f>
        <v>C</v>
      </c>
      <c r="O174">
        <f>RTD("tos.rtd", , "ASK", ".SPXW240129P5100")</f>
        <v>177.7</v>
      </c>
      <c r="P174" t="str">
        <f>RTD("tos.rtd", , "AX", ".SPXW240129P5100")</f>
        <v>C</v>
      </c>
      <c r="Q174" t="str">
        <f>RTD("tos.rtd", , "VOLUME", ".SPXW240129P5100")</f>
        <v>N/A</v>
      </c>
      <c r="R174">
        <f>RTD("tos.rtd", , "OPEN_INT", ".SPXW240129P5100")</f>
        <v>0</v>
      </c>
      <c r="S174">
        <f>RTD("tos.rtd", , "DELTA", ".SPXW240129P5100")</f>
        <v>-0.21</v>
      </c>
      <c r="T174">
        <f>RTD("tos.rtd", , "GAMMA", ".SPXW240129P5100")</f>
        <v>0</v>
      </c>
    </row>
    <row r="175" spans="3:20" x14ac:dyDescent="0.25">
      <c r="C175" t="str">
        <f>RTD("tos.rtd", , "VOLUME", ".SPXW240129C5125")</f>
        <v>N/A</v>
      </c>
      <c r="D175">
        <f>RTD("tos.rtd", , "OPEN_INT", ".SPXW240129C5125")</f>
        <v>1275</v>
      </c>
      <c r="E175">
        <f>RTD("tos.rtd", , "DELTA", ".SPXW240129C5125")</f>
        <v>1</v>
      </c>
      <c r="F175">
        <f>RTD("tos.rtd", , "GAMMA", ".SPXW240129C5125")</f>
        <v>0</v>
      </c>
      <c r="G175">
        <f>RTD("tos.rtd", , "BID", ".SPXW240129C5125")</f>
        <v>0</v>
      </c>
      <c r="H175" t="str">
        <f>RTD("tos.rtd", , "BX", ".SPXW240129C5125")</f>
        <v>C</v>
      </c>
      <c r="I175">
        <f>RTD("tos.rtd", , "ASK", ".SPXW240129C5125")</f>
        <v>0.05</v>
      </c>
      <c r="J175" t="str">
        <f>RTD("tos.rtd", , "AX", ".SPXW240129C5125")</f>
        <v>C</v>
      </c>
      <c r="K175" t="str">
        <f>RTD("tos.rtd", , "EXPIRATION_DAY", ".SPXW240129C5125")</f>
        <v>2024-01-29</v>
      </c>
      <c r="L175">
        <f>RTD("tos.rtd", , "STRIKE", ".SPXW240129C5125")</f>
        <v>5125</v>
      </c>
      <c r="M175">
        <f>RTD("tos.rtd", , "BID", ".SPXW240129P5125")</f>
        <v>190.1</v>
      </c>
      <c r="N175" t="str">
        <f>RTD("tos.rtd", , "BX", ".SPXW240129P5125")</f>
        <v>C</v>
      </c>
      <c r="O175">
        <f>RTD("tos.rtd", , "ASK", ".SPXW240129P5125")</f>
        <v>202.7</v>
      </c>
      <c r="P175" t="str">
        <f>RTD("tos.rtd", , "AX", ".SPXW240129P5125")</f>
        <v>C</v>
      </c>
      <c r="Q175" t="str">
        <f>RTD("tos.rtd", , "VOLUME", ".SPXW240129P5125")</f>
        <v>N/A</v>
      </c>
      <c r="R175">
        <f>RTD("tos.rtd", , "OPEN_INT", ".SPXW240129P5125")</f>
        <v>0</v>
      </c>
      <c r="S175">
        <f>RTD("tos.rtd", , "DELTA", ".SPXW240129P5125")</f>
        <v>-0.23</v>
      </c>
      <c r="T175">
        <f>RTD("tos.rtd", , "GAMMA", ".SPXW240129P5125")</f>
        <v>0</v>
      </c>
    </row>
    <row r="176" spans="3:20" x14ac:dyDescent="0.25">
      <c r="C176" t="str">
        <f>RTD("tos.rtd", , "VOLUME", ".SPXW240129C5150")</f>
        <v>N/A</v>
      </c>
      <c r="D176">
        <f>RTD("tos.rtd", , "OPEN_INT", ".SPXW240129C5150")</f>
        <v>105</v>
      </c>
      <c r="E176">
        <f>RTD("tos.rtd", , "DELTA", ".SPXW240129C5150")</f>
        <v>1</v>
      </c>
      <c r="F176">
        <f>RTD("tos.rtd", , "GAMMA", ".SPXW240129C5150")</f>
        <v>0</v>
      </c>
      <c r="G176">
        <f>RTD("tos.rtd", , "BID", ".SPXW240129C5150")</f>
        <v>0</v>
      </c>
      <c r="H176" t="str">
        <f>RTD("tos.rtd", , "BX", ".SPXW240129C5150")</f>
        <v>C</v>
      </c>
      <c r="I176">
        <f>RTD("tos.rtd", , "ASK", ".SPXW240129C5150")</f>
        <v>0.05</v>
      </c>
      <c r="J176" t="str">
        <f>RTD("tos.rtd", , "AX", ".SPXW240129C5150")</f>
        <v>C</v>
      </c>
      <c r="K176" t="str">
        <f>RTD("tos.rtd", , "EXPIRATION_DAY", ".SPXW240129C5150")</f>
        <v>2024-01-29</v>
      </c>
      <c r="L176">
        <f>RTD("tos.rtd", , "STRIKE", ".SPXW240129C5150")</f>
        <v>5150</v>
      </c>
      <c r="M176">
        <f>RTD("tos.rtd", , "BID", ".SPXW240129P5150")</f>
        <v>212.5</v>
      </c>
      <c r="N176" t="str">
        <f>RTD("tos.rtd", , "BX", ".SPXW240129P5150")</f>
        <v>C</v>
      </c>
      <c r="O176">
        <f>RTD("tos.rtd", , "ASK", ".SPXW240129P5150")</f>
        <v>230.7</v>
      </c>
      <c r="P176" t="str">
        <f>RTD("tos.rtd", , "AX", ".SPXW240129P5150")</f>
        <v>C</v>
      </c>
      <c r="Q176" t="str">
        <f>RTD("tos.rtd", , "VOLUME", ".SPXW240129P5150")</f>
        <v>N/A</v>
      </c>
      <c r="R176">
        <f>RTD("tos.rtd", , "OPEN_INT", ".SPXW240129P5150")</f>
        <v>0</v>
      </c>
      <c r="S176">
        <f>RTD("tos.rtd", , "DELTA", ".SPXW240129P5150")</f>
        <v>-0.24</v>
      </c>
      <c r="T176">
        <f>RTD("tos.rtd", , "GAMMA", ".SPXW240129P5150")</f>
        <v>0</v>
      </c>
    </row>
    <row r="177" spans="1:20" x14ac:dyDescent="0.25">
      <c r="C177" t="str">
        <f>RTD("tos.rtd", , "VOLUME", ".SPXW240129C5175")</f>
        <v>N/A</v>
      </c>
      <c r="D177">
        <f>RTD("tos.rtd", , "OPEN_INT", ".SPXW240129C5175")</f>
        <v>6</v>
      </c>
      <c r="E177">
        <f>RTD("tos.rtd", , "DELTA", ".SPXW240129C5175")</f>
        <v>1</v>
      </c>
      <c r="F177">
        <f>RTD("tos.rtd", , "GAMMA", ".SPXW240129C5175")</f>
        <v>0</v>
      </c>
      <c r="G177">
        <f>RTD("tos.rtd", , "BID", ".SPXW240129C5175")</f>
        <v>0</v>
      </c>
      <c r="H177" t="str">
        <f>RTD("tos.rtd", , "BX", ".SPXW240129C5175")</f>
        <v>C</v>
      </c>
      <c r="I177">
        <f>RTD("tos.rtd", , "ASK", ".SPXW240129C5175")</f>
        <v>0.05</v>
      </c>
      <c r="J177" t="str">
        <f>RTD("tos.rtd", , "AX", ".SPXW240129C5175")</f>
        <v>C</v>
      </c>
      <c r="K177" t="str">
        <f>RTD("tos.rtd", , "EXPIRATION_DAY", ".SPXW240129C5175")</f>
        <v>2024-01-29</v>
      </c>
      <c r="L177">
        <f>RTD("tos.rtd", , "STRIKE", ".SPXW240129C5175")</f>
        <v>5175</v>
      </c>
      <c r="M177">
        <f>RTD("tos.rtd", , "BID", ".SPXW240129P5175")</f>
        <v>237.5</v>
      </c>
      <c r="N177" t="str">
        <f>RTD("tos.rtd", , "BX", ".SPXW240129P5175")</f>
        <v>C</v>
      </c>
      <c r="O177">
        <f>RTD("tos.rtd", , "ASK", ".SPXW240129P5175")</f>
        <v>255.7</v>
      </c>
      <c r="P177" t="str">
        <f>RTD("tos.rtd", , "AX", ".SPXW240129P5175")</f>
        <v>C</v>
      </c>
      <c r="Q177" t="str">
        <f>RTD("tos.rtd", , "VOLUME", ".SPXW240129P5175")</f>
        <v>N/A</v>
      </c>
      <c r="R177">
        <f>RTD("tos.rtd", , "OPEN_INT", ".SPXW240129P5175")</f>
        <v>0</v>
      </c>
      <c r="S177">
        <f>RTD("tos.rtd", , "DELTA", ".SPXW240129P5175")</f>
        <v>-0.25</v>
      </c>
      <c r="T177">
        <f>RTD("tos.rtd", , "GAMMA", ".SPXW240129P5175")</f>
        <v>0</v>
      </c>
    </row>
    <row r="178" spans="1:20" x14ac:dyDescent="0.25">
      <c r="C178" t="str">
        <f>RTD("tos.rtd", , "VOLUME", ".SPXW240129C5200")</f>
        <v>N/A</v>
      </c>
      <c r="D178">
        <f>RTD("tos.rtd", , "OPEN_INT", ".SPXW240129C5200")</f>
        <v>794</v>
      </c>
      <c r="E178">
        <f>RTD("tos.rtd", , "DELTA", ".SPXW240129C5200")</f>
        <v>1</v>
      </c>
      <c r="F178">
        <f>RTD("tos.rtd", , "GAMMA", ".SPXW240129C5200")</f>
        <v>0</v>
      </c>
      <c r="G178">
        <f>RTD("tos.rtd", , "BID", ".SPXW240129C5200")</f>
        <v>0</v>
      </c>
      <c r="H178" t="str">
        <f>RTD("tos.rtd", , "BX", ".SPXW240129C5200")</f>
        <v>C</v>
      </c>
      <c r="I178">
        <f>RTD("tos.rtd", , "ASK", ".SPXW240129C5200")</f>
        <v>0.05</v>
      </c>
      <c r="J178" t="str">
        <f>RTD("tos.rtd", , "AX", ".SPXW240129C5200")</f>
        <v>C</v>
      </c>
      <c r="K178" t="str">
        <f>RTD("tos.rtd", , "EXPIRATION_DAY", ".SPXW240129C5200")</f>
        <v>2024-01-29</v>
      </c>
      <c r="L178">
        <f>RTD("tos.rtd", , "STRIKE", ".SPXW240129C5200")</f>
        <v>5200</v>
      </c>
      <c r="M178">
        <f>RTD("tos.rtd", , "BID", ".SPXW240129P5200")</f>
        <v>262.3</v>
      </c>
      <c r="N178" t="str">
        <f>RTD("tos.rtd", , "BX", ".SPXW240129P5200")</f>
        <v>C</v>
      </c>
      <c r="O178">
        <f>RTD("tos.rtd", , "ASK", ".SPXW240129P5200")</f>
        <v>280.7</v>
      </c>
      <c r="P178" t="str">
        <f>RTD("tos.rtd", , "AX", ".SPXW240129P5200")</f>
        <v>C</v>
      </c>
      <c r="Q178" t="str">
        <f>RTD("tos.rtd", , "VOLUME", ".SPXW240129P5200")</f>
        <v>N/A</v>
      </c>
      <c r="R178">
        <f>RTD("tos.rtd", , "OPEN_INT", ".SPXW240129P5200")</f>
        <v>0</v>
      </c>
      <c r="S178">
        <f>RTD("tos.rtd", , "DELTA", ".SPXW240129P5200")</f>
        <v>-0.26</v>
      </c>
      <c r="T178">
        <f>RTD("tos.rtd", , "GAMMA", ".SPXW240129P5200")</f>
        <v>0</v>
      </c>
    </row>
    <row r="179" spans="1:20" x14ac:dyDescent="0.25">
      <c r="C179" t="str">
        <f>RTD("tos.rtd", , "VOLUME", ".SPXW240129C5225")</f>
        <v>N/A</v>
      </c>
      <c r="D179">
        <f>RTD("tos.rtd", , "OPEN_INT", ".SPXW240129C5225")</f>
        <v>0</v>
      </c>
      <c r="E179">
        <f>RTD("tos.rtd", , "DELTA", ".SPXW240129C5225")</f>
        <v>1</v>
      </c>
      <c r="F179">
        <f>RTD("tos.rtd", , "GAMMA", ".SPXW240129C5225")</f>
        <v>0</v>
      </c>
      <c r="G179">
        <f>RTD("tos.rtd", , "BID", ".SPXW240129C5225")</f>
        <v>0</v>
      </c>
      <c r="H179" t="str">
        <f>RTD("tos.rtd", , "BX", ".SPXW240129C5225")</f>
        <v>C</v>
      </c>
      <c r="I179">
        <f>RTD("tos.rtd", , "ASK", ".SPXW240129C5225")</f>
        <v>0.05</v>
      </c>
      <c r="J179" t="str">
        <f>RTD("tos.rtd", , "AX", ".SPXW240129C5225")</f>
        <v>C</v>
      </c>
      <c r="K179" t="str">
        <f>RTD("tos.rtd", , "EXPIRATION_DAY", ".SPXW240129C5225")</f>
        <v>2024-01-29</v>
      </c>
      <c r="L179">
        <f>RTD("tos.rtd", , "STRIKE", ".SPXW240129C5225")</f>
        <v>5225</v>
      </c>
      <c r="M179">
        <f>RTD("tos.rtd", , "BID", ".SPXW240129P5225")</f>
        <v>287.5</v>
      </c>
      <c r="N179" t="str">
        <f>RTD("tos.rtd", , "BX", ".SPXW240129P5225")</f>
        <v>C</v>
      </c>
      <c r="O179">
        <f>RTD("tos.rtd", , "ASK", ".SPXW240129P5225")</f>
        <v>305.7</v>
      </c>
      <c r="P179" t="str">
        <f>RTD("tos.rtd", , "AX", ".SPXW240129P5225")</f>
        <v>C</v>
      </c>
      <c r="Q179" t="str">
        <f>RTD("tos.rtd", , "VOLUME", ".SPXW240129P5225")</f>
        <v>N/A</v>
      </c>
      <c r="R179">
        <f>RTD("tos.rtd", , "OPEN_INT", ".SPXW240129P5225")</f>
        <v>0</v>
      </c>
      <c r="S179">
        <f>RTD("tos.rtd", , "DELTA", ".SPXW240129P5225")</f>
        <v>-0.27</v>
      </c>
      <c r="T179">
        <f>RTD("tos.rtd", , "GAMMA", ".SPXW240129P5225")</f>
        <v>0</v>
      </c>
    </row>
    <row r="180" spans="1:20" x14ac:dyDescent="0.25">
      <c r="C180" t="str">
        <f>RTD("tos.rtd", , "VOLUME", ".SPXW240129C5250")</f>
        <v>N/A</v>
      </c>
      <c r="D180">
        <f>RTD("tos.rtd", , "OPEN_INT", ".SPXW240129C5250")</f>
        <v>0</v>
      </c>
      <c r="E180">
        <f>RTD("tos.rtd", , "DELTA", ".SPXW240129C5250")</f>
        <v>1</v>
      </c>
      <c r="F180">
        <f>RTD("tos.rtd", , "GAMMA", ".SPXW240129C5250")</f>
        <v>0</v>
      </c>
      <c r="G180">
        <f>RTD("tos.rtd", , "BID", ".SPXW240129C5250")</f>
        <v>0</v>
      </c>
      <c r="H180" t="str">
        <f>RTD("tos.rtd", , "BX", ".SPXW240129C5250")</f>
        <v>C</v>
      </c>
      <c r="I180">
        <f>RTD("tos.rtd", , "ASK", ".SPXW240129C5250")</f>
        <v>0.05</v>
      </c>
      <c r="J180" t="str">
        <f>RTD("tos.rtd", , "AX", ".SPXW240129C5250")</f>
        <v>C</v>
      </c>
      <c r="K180" t="str">
        <f>RTD("tos.rtd", , "EXPIRATION_DAY", ".SPXW240129C5250")</f>
        <v>2024-01-29</v>
      </c>
      <c r="L180">
        <f>RTD("tos.rtd", , "STRIKE", ".SPXW240129C5250")</f>
        <v>5250</v>
      </c>
      <c r="M180">
        <f>RTD("tos.rtd", , "BID", ".SPXW240129P5250")</f>
        <v>312.3</v>
      </c>
      <c r="N180" t="str">
        <f>RTD("tos.rtd", , "BX", ".SPXW240129P5250")</f>
        <v>C</v>
      </c>
      <c r="O180">
        <f>RTD("tos.rtd", , "ASK", ".SPXW240129P5250")</f>
        <v>330.7</v>
      </c>
      <c r="P180" t="str">
        <f>RTD("tos.rtd", , "AX", ".SPXW240129P5250")</f>
        <v>C</v>
      </c>
      <c r="Q180" t="str">
        <f>RTD("tos.rtd", , "VOLUME", ".SPXW240129P5250")</f>
        <v>N/A</v>
      </c>
      <c r="R180">
        <f>RTD("tos.rtd", , "OPEN_INT", ".SPXW240129P5250")</f>
        <v>0</v>
      </c>
      <c r="S180">
        <f>RTD("tos.rtd", , "DELTA", ".SPXW240129P5250")</f>
        <v>-0.28000000000000003</v>
      </c>
      <c r="T180">
        <f>RTD("tos.rtd", , "GAMMA", ".SPXW240129P5250")</f>
        <v>0</v>
      </c>
    </row>
    <row r="181" spans="1:20" x14ac:dyDescent="0.25">
      <c r="C181" t="str">
        <f>RTD("tos.rtd", , "VOLUME", ".SPXW240129C5300")</f>
        <v>N/A</v>
      </c>
      <c r="D181">
        <f>RTD("tos.rtd", , "OPEN_INT", ".SPXW240129C5300")</f>
        <v>3</v>
      </c>
      <c r="E181">
        <f>RTD("tos.rtd", , "DELTA", ".SPXW240129C5300")</f>
        <v>1</v>
      </c>
      <c r="F181">
        <f>RTD("tos.rtd", , "GAMMA", ".SPXW240129C5300")</f>
        <v>0</v>
      </c>
      <c r="G181">
        <f>RTD("tos.rtd", , "BID", ".SPXW240129C5300")</f>
        <v>0</v>
      </c>
      <c r="H181" t="str">
        <f>RTD("tos.rtd", , "BX", ".SPXW240129C5300")</f>
        <v>C</v>
      </c>
      <c r="I181">
        <f>RTD("tos.rtd", , "ASK", ".SPXW240129C5300")</f>
        <v>0.05</v>
      </c>
      <c r="J181" t="str">
        <f>RTD("tos.rtd", , "AX", ".SPXW240129C5300")</f>
        <v>C</v>
      </c>
      <c r="K181" t="str">
        <f>RTD("tos.rtd", , "EXPIRATION_DAY", ".SPXW240129C5300")</f>
        <v>2024-01-29</v>
      </c>
      <c r="L181">
        <f>RTD("tos.rtd", , "STRIKE", ".SPXW240129C5300")</f>
        <v>5300</v>
      </c>
      <c r="M181">
        <f>RTD("tos.rtd", , "BID", ".SPXW240129P5300")</f>
        <v>362.3</v>
      </c>
      <c r="N181" t="str">
        <f>RTD("tos.rtd", , "BX", ".SPXW240129P5300")</f>
        <v>C</v>
      </c>
      <c r="O181">
        <f>RTD("tos.rtd", , "ASK", ".SPXW240129P5300")</f>
        <v>380.7</v>
      </c>
      <c r="P181" t="str">
        <f>RTD("tos.rtd", , "AX", ".SPXW240129P5300")</f>
        <v>C</v>
      </c>
      <c r="Q181" t="str">
        <f>RTD("tos.rtd", , "VOLUME", ".SPXW240129P5300")</f>
        <v>N/A</v>
      </c>
      <c r="R181">
        <f>RTD("tos.rtd", , "OPEN_INT", ".SPXW240129P5300")</f>
        <v>0</v>
      </c>
      <c r="S181">
        <f>RTD("tos.rtd", , "DELTA", ".SPXW240129P5300")</f>
        <v>-0.3</v>
      </c>
      <c r="T181">
        <f>RTD("tos.rtd", , "GAMMA", ".SPXW240129P5300")</f>
        <v>0</v>
      </c>
    </row>
    <row r="182" spans="1:20" x14ac:dyDescent="0.25">
      <c r="C182" t="str">
        <f>RTD("tos.rtd", , "VOLUME", ".SPXW240129C5400")</f>
        <v>N/A</v>
      </c>
      <c r="D182">
        <f>RTD("tos.rtd", , "OPEN_INT", ".SPXW240129C5400")</f>
        <v>112</v>
      </c>
      <c r="E182">
        <f>RTD("tos.rtd", , "DELTA", ".SPXW240129C5400")</f>
        <v>1</v>
      </c>
      <c r="F182">
        <f>RTD("tos.rtd", , "GAMMA", ".SPXW240129C5400")</f>
        <v>0</v>
      </c>
      <c r="G182">
        <f>RTD("tos.rtd", , "BID", ".SPXW240129C5400")</f>
        <v>0</v>
      </c>
      <c r="H182" t="str">
        <f>RTD("tos.rtd", , "BX", ".SPXW240129C5400")</f>
        <v>C</v>
      </c>
      <c r="I182">
        <f>RTD("tos.rtd", , "ASK", ".SPXW240129C5400")</f>
        <v>0.05</v>
      </c>
      <c r="J182" t="str">
        <f>RTD("tos.rtd", , "AX", ".SPXW240129C5400")</f>
        <v>C</v>
      </c>
      <c r="K182" t="str">
        <f>RTD("tos.rtd", , "EXPIRATION_DAY", ".SPXW240129C5400")</f>
        <v>2024-01-29</v>
      </c>
      <c r="L182">
        <f>RTD("tos.rtd", , "STRIKE", ".SPXW240129C5400")</f>
        <v>5400</v>
      </c>
      <c r="M182">
        <f>RTD("tos.rtd", , "BID", ".SPXW240129P5400")</f>
        <v>462.5</v>
      </c>
      <c r="N182" t="str">
        <f>RTD("tos.rtd", , "BX", ".SPXW240129P5400")</f>
        <v>C</v>
      </c>
      <c r="O182">
        <f>RTD("tos.rtd", , "ASK", ".SPXW240129P5400")</f>
        <v>480.7</v>
      </c>
      <c r="P182" t="str">
        <f>RTD("tos.rtd", , "AX", ".SPXW240129P5400")</f>
        <v>C</v>
      </c>
      <c r="Q182" t="str">
        <f>RTD("tos.rtd", , "VOLUME", ".SPXW240129P5400")</f>
        <v>N/A</v>
      </c>
      <c r="R182">
        <f>RTD("tos.rtd", , "OPEN_INT", ".SPXW240129P5400")</f>
        <v>0</v>
      </c>
      <c r="S182">
        <f>RTD("tos.rtd", , "DELTA", ".SPXW240129P5400")</f>
        <v>-0.33</v>
      </c>
      <c r="T182">
        <f>RTD("tos.rtd", , "GAMMA", ".SPXW240129P5400")</f>
        <v>0</v>
      </c>
    </row>
    <row r="183" spans="1:20" x14ac:dyDescent="0.25">
      <c r="C183" t="str">
        <f>RTD("tos.rtd", , "VOLUME", ".SPXW240129C5500")</f>
        <v>N/A</v>
      </c>
      <c r="D183">
        <f>RTD("tos.rtd", , "OPEN_INT", ".SPXW240129C5500")</f>
        <v>0</v>
      </c>
      <c r="E183">
        <f>RTD("tos.rtd", , "DELTA", ".SPXW240129C5500")</f>
        <v>1</v>
      </c>
      <c r="F183">
        <f>RTD("tos.rtd", , "GAMMA", ".SPXW240129C5500")</f>
        <v>0</v>
      </c>
      <c r="G183">
        <f>RTD("tos.rtd", , "BID", ".SPXW240129C5500")</f>
        <v>0</v>
      </c>
      <c r="H183" t="str">
        <f>RTD("tos.rtd", , "BX", ".SPXW240129C5500")</f>
        <v>C</v>
      </c>
      <c r="I183">
        <f>RTD("tos.rtd", , "ASK", ".SPXW240129C5500")</f>
        <v>0.05</v>
      </c>
      <c r="J183" t="str">
        <f>RTD("tos.rtd", , "AX", ".SPXW240129C5500")</f>
        <v>C</v>
      </c>
      <c r="K183" t="str">
        <f>RTD("tos.rtd", , "EXPIRATION_DAY", ".SPXW240129C5500")</f>
        <v>2024-01-29</v>
      </c>
      <c r="L183">
        <f>RTD("tos.rtd", , "STRIKE", ".SPXW240129C5500")</f>
        <v>5500</v>
      </c>
      <c r="M183">
        <f>RTD("tos.rtd", , "BID", ".SPXW240129P5500")</f>
        <v>562.5</v>
      </c>
      <c r="N183" t="str">
        <f>RTD("tos.rtd", , "BX", ".SPXW240129P5500")</f>
        <v>C</v>
      </c>
      <c r="O183">
        <f>RTD("tos.rtd", , "ASK", ".SPXW240129P5500")</f>
        <v>580.70000000000005</v>
      </c>
      <c r="P183" t="str">
        <f>RTD("tos.rtd", , "AX", ".SPXW240129P5500")</f>
        <v>C</v>
      </c>
      <c r="Q183" t="str">
        <f>RTD("tos.rtd", , "VOLUME", ".SPXW240129P5500")</f>
        <v>N/A</v>
      </c>
      <c r="R183">
        <f>RTD("tos.rtd", , "OPEN_INT", ".SPXW240129P5500")</f>
        <v>0</v>
      </c>
      <c r="S183">
        <f>RTD("tos.rtd", , "DELTA", ".SPXW240129P5500")</f>
        <v>-0.35</v>
      </c>
      <c r="T183">
        <f>RTD("tos.rtd", , "GAMMA", ".SPXW240129P5500")</f>
        <v>0</v>
      </c>
    </row>
    <row r="184" spans="1:20" x14ac:dyDescent="0.25">
      <c r="C184" t="str">
        <f>RTD("tos.rtd", , "VOLUME", ".SPXW240129C5600")</f>
        <v>N/A</v>
      </c>
      <c r="D184">
        <f>RTD("tos.rtd", , "OPEN_INT", ".SPXW240129C5600")</f>
        <v>10</v>
      </c>
      <c r="E184">
        <f>RTD("tos.rtd", , "DELTA", ".SPXW240129C5600")</f>
        <v>1</v>
      </c>
      <c r="F184">
        <f>RTD("tos.rtd", , "GAMMA", ".SPXW240129C5600")</f>
        <v>0</v>
      </c>
      <c r="G184">
        <f>RTD("tos.rtd", , "BID", ".SPXW240129C5600")</f>
        <v>0</v>
      </c>
      <c r="H184" t="str">
        <f>RTD("tos.rtd", , "BX", ".SPXW240129C5600")</f>
        <v>C</v>
      </c>
      <c r="I184">
        <f>RTD("tos.rtd", , "ASK", ".SPXW240129C5600")</f>
        <v>0.05</v>
      </c>
      <c r="J184" t="str">
        <f>RTD("tos.rtd", , "AX", ".SPXW240129C5600")</f>
        <v>C</v>
      </c>
      <c r="K184" t="str">
        <f>RTD("tos.rtd", , "EXPIRATION_DAY", ".SPXW240129C5600")</f>
        <v>2024-01-29</v>
      </c>
      <c r="L184">
        <f>RTD("tos.rtd", , "STRIKE", ".SPXW240129C5600")</f>
        <v>5600</v>
      </c>
      <c r="M184">
        <f>RTD("tos.rtd", , "BID", ".SPXW240129P5600")</f>
        <v>662.3</v>
      </c>
      <c r="N184" t="str">
        <f>RTD("tos.rtd", , "BX", ".SPXW240129P5600")</f>
        <v>C</v>
      </c>
      <c r="O184">
        <f>RTD("tos.rtd", , "ASK", ".SPXW240129P5600")</f>
        <v>680.7</v>
      </c>
      <c r="P184" t="str">
        <f>RTD("tos.rtd", , "AX", ".SPXW240129P5600")</f>
        <v>C</v>
      </c>
      <c r="Q184" t="str">
        <f>RTD("tos.rtd", , "VOLUME", ".SPXW240129P5600")</f>
        <v>N/A</v>
      </c>
      <c r="R184">
        <f>RTD("tos.rtd", , "OPEN_INT", ".SPXW240129P5600")</f>
        <v>0</v>
      </c>
      <c r="S184">
        <f>RTD("tos.rtd", , "DELTA", ".SPXW240129P5600")</f>
        <v>-0.37</v>
      </c>
      <c r="T184">
        <f>RTD("tos.rtd", , "GAMMA", ".SPXW240129P5600")</f>
        <v>0</v>
      </c>
    </row>
    <row r="185" spans="1:20" x14ac:dyDescent="0.25">
      <c r="C185" t="str">
        <f>RTD("tos.rtd", , "VOLUME", ".SPXW240129C5800")</f>
        <v>N/A</v>
      </c>
      <c r="D185">
        <f>RTD("tos.rtd", , "OPEN_INT", ".SPXW240129C5800")</f>
        <v>0</v>
      </c>
      <c r="E185">
        <f>RTD("tos.rtd", , "DELTA", ".SPXW240129C5800")</f>
        <v>1</v>
      </c>
      <c r="F185">
        <f>RTD("tos.rtd", , "GAMMA", ".SPXW240129C5800")</f>
        <v>0</v>
      </c>
      <c r="G185">
        <f>RTD("tos.rtd", , "BID", ".SPXW240129C5800")</f>
        <v>0</v>
      </c>
      <c r="H185" t="str">
        <f>RTD("tos.rtd", , "BX", ".SPXW240129C5800")</f>
        <v>C</v>
      </c>
      <c r="I185">
        <f>RTD("tos.rtd", , "ASK", ".SPXW240129C5800")</f>
        <v>0.05</v>
      </c>
      <c r="J185" t="str">
        <f>RTD("tos.rtd", , "AX", ".SPXW240129C5800")</f>
        <v>C</v>
      </c>
      <c r="K185" t="str">
        <f>RTD("tos.rtd", , "EXPIRATION_DAY", ".SPXW240129C5800")</f>
        <v>2024-01-29</v>
      </c>
      <c r="L185">
        <f>RTD("tos.rtd", , "STRIKE", ".SPXW240129C5800")</f>
        <v>5800</v>
      </c>
      <c r="M185">
        <f>RTD("tos.rtd", , "BID", ".SPXW240129P5800")</f>
        <v>862.3</v>
      </c>
      <c r="N185" t="str">
        <f>RTD("tos.rtd", , "BX", ".SPXW240129P5800")</f>
        <v>C</v>
      </c>
      <c r="O185">
        <f>RTD("tos.rtd", , "ASK", ".SPXW240129P5800")</f>
        <v>880.7</v>
      </c>
      <c r="P185" t="str">
        <f>RTD("tos.rtd", , "AX", ".SPXW240129P5800")</f>
        <v>C</v>
      </c>
      <c r="Q185" t="str">
        <f>RTD("tos.rtd", , "VOLUME", ".SPXW240129P5800")</f>
        <v>N/A</v>
      </c>
      <c r="R185">
        <f>RTD("tos.rtd", , "OPEN_INT", ".SPXW240129P5800")</f>
        <v>0</v>
      </c>
      <c r="S185">
        <f>RTD("tos.rtd", , "DELTA", ".SPXW240129P5800")</f>
        <v>-0.4</v>
      </c>
      <c r="T185">
        <f>RTD("tos.rtd", , "GAMMA", ".SPXW240129P5800")</f>
        <v>0</v>
      </c>
    </row>
    <row r="186" spans="1:20" x14ac:dyDescent="0.25">
      <c r="C186" t="str">
        <f>RTD("tos.rtd", , "VOLUME", ".SPXW240129C6000")</f>
        <v>N/A</v>
      </c>
      <c r="D186">
        <f>RTD("tos.rtd", , "OPEN_INT", ".SPXW240129C6000")</f>
        <v>0</v>
      </c>
      <c r="E186">
        <f>RTD("tos.rtd", , "DELTA", ".SPXW240129C6000")</f>
        <v>0</v>
      </c>
      <c r="F186">
        <f>RTD("tos.rtd", , "GAMMA", ".SPXW240129C6000")</f>
        <v>0</v>
      </c>
      <c r="G186">
        <f>RTD("tos.rtd", , "BID", ".SPXW240129C6000")</f>
        <v>0</v>
      </c>
      <c r="H186" t="str">
        <f>RTD("tos.rtd", , "BX", ".SPXW240129C6000")</f>
        <v>C</v>
      </c>
      <c r="I186">
        <f>RTD("tos.rtd", , "ASK", ".SPXW240129C6000")</f>
        <v>0.05</v>
      </c>
      <c r="J186" t="str">
        <f>RTD("tos.rtd", , "AX", ".SPXW240129C6000")</f>
        <v>C</v>
      </c>
      <c r="K186" t="str">
        <f>RTD("tos.rtd", , "EXPIRATION_DAY", ".SPXW240129C6000")</f>
        <v>2024-01-29</v>
      </c>
      <c r="L186">
        <f>RTD("tos.rtd", , "STRIKE", ".SPXW240129C6000")</f>
        <v>6000</v>
      </c>
      <c r="M186">
        <f>RTD("tos.rtd", , "BID", ".SPXW240129P6000")</f>
        <v>1062.3</v>
      </c>
      <c r="N186" t="str">
        <f>RTD("tos.rtd", , "BX", ".SPXW240129P6000")</f>
        <v>C</v>
      </c>
      <c r="O186">
        <f>RTD("tos.rtd", , "ASK", ".SPXW240129P6000")</f>
        <v>1080.7</v>
      </c>
      <c r="P186" t="str">
        <f>RTD("tos.rtd", , "AX", ".SPXW240129P6000")</f>
        <v>C</v>
      </c>
      <c r="Q186" t="str">
        <f>RTD("tos.rtd", , "VOLUME", ".SPXW240129P6000")</f>
        <v>N/A</v>
      </c>
      <c r="R186">
        <f>RTD("tos.rtd", , "OPEN_INT", ".SPXW240129P6000")</f>
        <v>0</v>
      </c>
      <c r="S186">
        <f>RTD("tos.rtd", , "DELTA", ".SPXW240129P6000")</f>
        <v>-0.43</v>
      </c>
      <c r="T186">
        <f>RTD("tos.rtd", , "GAMMA", ".SPXW240129P6000")</f>
        <v>0</v>
      </c>
    </row>
    <row r="187" spans="1:20" x14ac:dyDescent="0.25">
      <c r="C187" t="str">
        <f>RTD("tos.rtd", , "VOLUME", ".SPXW240129C6200")</f>
        <v>N/A</v>
      </c>
      <c r="D187">
        <f>RTD("tos.rtd", , "OPEN_INT", ".SPXW240129C6200")</f>
        <v>9</v>
      </c>
      <c r="E187">
        <f>RTD("tos.rtd", , "DELTA", ".SPXW240129C6200")</f>
        <v>0</v>
      </c>
      <c r="F187">
        <f>RTD("tos.rtd", , "GAMMA", ".SPXW240129C6200")</f>
        <v>0</v>
      </c>
      <c r="G187">
        <f>RTD("tos.rtd", , "BID", ".SPXW240129C6200")</f>
        <v>0</v>
      </c>
      <c r="H187" t="str">
        <f>RTD("tos.rtd", , "BX", ".SPXW240129C6200")</f>
        <v>C</v>
      </c>
      <c r="I187">
        <f>RTD("tos.rtd", , "ASK", ".SPXW240129C6200")</f>
        <v>0.05</v>
      </c>
      <c r="J187" t="str">
        <f>RTD("tos.rtd", , "AX", ".SPXW240129C6200")</f>
        <v>C</v>
      </c>
      <c r="K187" t="str">
        <f>RTD("tos.rtd", , "EXPIRATION_DAY", ".SPXW240129C6200")</f>
        <v>2024-01-29</v>
      </c>
      <c r="L187">
        <f>RTD("tos.rtd", , "STRIKE", ".SPXW240129C6200")</f>
        <v>6200</v>
      </c>
      <c r="M187">
        <f>RTD("tos.rtd", , "BID", ".SPXW240129P6200")</f>
        <v>1262.3</v>
      </c>
      <c r="N187" t="str">
        <f>RTD("tos.rtd", , "BX", ".SPXW240129P6200")</f>
        <v>C</v>
      </c>
      <c r="O187">
        <f>RTD("tos.rtd", , "ASK", ".SPXW240129P6200")</f>
        <v>1280.7</v>
      </c>
      <c r="P187" t="str">
        <f>RTD("tos.rtd", , "AX", ".SPXW240129P6200")</f>
        <v>C</v>
      </c>
      <c r="Q187" t="str">
        <f>RTD("tos.rtd", , "VOLUME", ".SPXW240129P6200")</f>
        <v>N/A</v>
      </c>
      <c r="R187">
        <f>RTD("tos.rtd", , "OPEN_INT", ".SPXW240129P6200")</f>
        <v>0</v>
      </c>
      <c r="S187">
        <f>RTD("tos.rtd", , "DELTA", ".SPXW240129P6200")</f>
        <v>-0.45</v>
      </c>
      <c r="T187">
        <f>RTD("tos.rtd", , "GAMMA", ".SPXW240129P6200")</f>
        <v>0</v>
      </c>
    </row>
    <row r="188" spans="1:20" x14ac:dyDescent="0.25">
      <c r="A188" t="s">
        <v>46</v>
      </c>
    </row>
    <row r="189" spans="1:20" x14ac:dyDescent="0.25">
      <c r="A189" t="s">
        <v>47</v>
      </c>
    </row>
    <row r="190" spans="1:20" x14ac:dyDescent="0.25">
      <c r="A190" t="s">
        <v>48</v>
      </c>
    </row>
    <row r="191" spans="1:20" x14ac:dyDescent="0.25">
      <c r="A191" t="s">
        <v>49</v>
      </c>
    </row>
    <row r="192" spans="1:20" x14ac:dyDescent="0.25">
      <c r="A192" t="s">
        <v>50</v>
      </c>
    </row>
    <row r="193" spans="1:1" x14ac:dyDescent="0.25">
      <c r="A193" t="s">
        <v>51</v>
      </c>
    </row>
    <row r="194" spans="1:1" x14ac:dyDescent="0.25">
      <c r="A194" t="s">
        <v>52</v>
      </c>
    </row>
    <row r="195" spans="1:1" x14ac:dyDescent="0.25">
      <c r="A195" t="s">
        <v>53</v>
      </c>
    </row>
    <row r="196" spans="1:1" x14ac:dyDescent="0.25">
      <c r="A196" t="s">
        <v>54</v>
      </c>
    </row>
    <row r="197" spans="1:1" x14ac:dyDescent="0.25">
      <c r="A197" t="s">
        <v>55</v>
      </c>
    </row>
    <row r="198" spans="1:1" x14ac:dyDescent="0.25">
      <c r="A198" t="s">
        <v>56</v>
      </c>
    </row>
    <row r="199" spans="1:1" x14ac:dyDescent="0.25">
      <c r="A199" t="s">
        <v>57</v>
      </c>
    </row>
    <row r="200" spans="1:1" x14ac:dyDescent="0.25">
      <c r="A200" t="s">
        <v>58</v>
      </c>
    </row>
    <row r="201" spans="1:1" x14ac:dyDescent="0.25">
      <c r="A201" t="s">
        <v>59</v>
      </c>
    </row>
    <row r="202" spans="1:1" x14ac:dyDescent="0.25">
      <c r="A202" t="s">
        <v>60</v>
      </c>
    </row>
    <row r="203" spans="1:1" x14ac:dyDescent="0.25">
      <c r="A203" t="s">
        <v>61</v>
      </c>
    </row>
    <row r="204" spans="1:1" x14ac:dyDescent="0.25">
      <c r="A204" t="s">
        <v>62</v>
      </c>
    </row>
    <row r="205" spans="1:1" x14ac:dyDescent="0.25">
      <c r="A205" t="s">
        <v>63</v>
      </c>
    </row>
    <row r="206" spans="1:1" x14ac:dyDescent="0.25">
      <c r="A206" t="s">
        <v>64</v>
      </c>
    </row>
    <row r="207" spans="1:1" x14ac:dyDescent="0.25">
      <c r="A207" t="s">
        <v>65</v>
      </c>
    </row>
    <row r="208" spans="1:1" x14ac:dyDescent="0.25">
      <c r="A208" t="s">
        <v>66</v>
      </c>
    </row>
    <row r="209" spans="1:1" x14ac:dyDescent="0.25">
      <c r="A209" t="s">
        <v>67</v>
      </c>
    </row>
    <row r="210" spans="1:1" x14ac:dyDescent="0.25">
      <c r="A210" t="s">
        <v>68</v>
      </c>
    </row>
    <row r="211" spans="1:1" x14ac:dyDescent="0.25">
      <c r="A211" t="s">
        <v>69</v>
      </c>
    </row>
    <row r="212" spans="1:1" x14ac:dyDescent="0.25">
      <c r="A212" t="s">
        <v>70</v>
      </c>
    </row>
    <row r="213" spans="1:1" x14ac:dyDescent="0.25">
      <c r="A213" t="s">
        <v>71</v>
      </c>
    </row>
    <row r="214" spans="1:1" x14ac:dyDescent="0.25">
      <c r="A214" t="s">
        <v>72</v>
      </c>
    </row>
    <row r="215" spans="1:1" x14ac:dyDescent="0.25">
      <c r="A215" t="s">
        <v>73</v>
      </c>
    </row>
    <row r="216" spans="1:1" x14ac:dyDescent="0.25">
      <c r="A216" t="s">
        <v>74</v>
      </c>
    </row>
    <row r="217" spans="1:1" x14ac:dyDescent="0.25">
      <c r="A217" t="s">
        <v>75</v>
      </c>
    </row>
    <row r="218" spans="1:1" x14ac:dyDescent="0.25">
      <c r="A218" t="s">
        <v>76</v>
      </c>
    </row>
    <row r="219" spans="1:1" x14ac:dyDescent="0.25">
      <c r="A219" t="s">
        <v>77</v>
      </c>
    </row>
    <row r="220" spans="1:1" x14ac:dyDescent="0.25">
      <c r="A220" t="s">
        <v>78</v>
      </c>
    </row>
    <row r="221" spans="1:1" x14ac:dyDescent="0.25">
      <c r="A221" t="s">
        <v>79</v>
      </c>
    </row>
    <row r="222" spans="1:1" x14ac:dyDescent="0.25">
      <c r="A222" t="s">
        <v>80</v>
      </c>
    </row>
    <row r="223" spans="1:1" x14ac:dyDescent="0.25">
      <c r="A223" t="s">
        <v>81</v>
      </c>
    </row>
    <row r="224" spans="1:1" x14ac:dyDescent="0.25">
      <c r="A224" t="s">
        <v>82</v>
      </c>
    </row>
    <row r="225" spans="1:1" x14ac:dyDescent="0.25">
      <c r="A225" t="s">
        <v>83</v>
      </c>
    </row>
    <row r="226" spans="1:1" x14ac:dyDescent="0.25">
      <c r="A226" t="s">
        <v>84</v>
      </c>
    </row>
    <row r="227" spans="1:1" x14ac:dyDescent="0.25">
      <c r="A227" t="s">
        <v>85</v>
      </c>
    </row>
    <row r="228" spans="1:1" x14ac:dyDescent="0.25">
      <c r="A228" t="s">
        <v>86</v>
      </c>
    </row>
    <row r="229" spans="1:1" x14ac:dyDescent="0.25">
      <c r="A229" t="s">
        <v>87</v>
      </c>
    </row>
    <row r="230" spans="1:1" x14ac:dyDescent="0.25">
      <c r="A230" t="s">
        <v>88</v>
      </c>
    </row>
    <row r="231" spans="1:1" x14ac:dyDescent="0.25">
      <c r="A231" t="s">
        <v>89</v>
      </c>
    </row>
    <row r="232" spans="1:1" x14ac:dyDescent="0.25">
      <c r="A232" t="s">
        <v>90</v>
      </c>
    </row>
    <row r="233" spans="1:1" x14ac:dyDescent="0.25">
      <c r="A233" t="s">
        <v>91</v>
      </c>
    </row>
    <row r="234" spans="1:1" x14ac:dyDescent="0.25">
      <c r="A234" t="s">
        <v>92</v>
      </c>
    </row>
    <row r="235" spans="1:1" x14ac:dyDescent="0.25">
      <c r="A235" t="s">
        <v>93</v>
      </c>
    </row>
    <row r="236" spans="1:1" x14ac:dyDescent="0.25">
      <c r="A236" t="s">
        <v>94</v>
      </c>
    </row>
    <row r="237" spans="1:1" x14ac:dyDescent="0.25">
      <c r="A237" t="s">
        <v>95</v>
      </c>
    </row>
    <row r="238" spans="1:1" x14ac:dyDescent="0.25">
      <c r="A238" t="s">
        <v>96</v>
      </c>
    </row>
    <row r="239" spans="1:1" x14ac:dyDescent="0.25">
      <c r="A239" t="s">
        <v>97</v>
      </c>
    </row>
    <row r="240" spans="1:1" x14ac:dyDescent="0.25">
      <c r="A240" t="s">
        <v>98</v>
      </c>
    </row>
    <row r="241" spans="1:1" x14ac:dyDescent="0.25">
      <c r="A241" t="s">
        <v>99</v>
      </c>
    </row>
    <row r="242" spans="1:1" x14ac:dyDescent="0.25">
      <c r="A242" t="s">
        <v>100</v>
      </c>
    </row>
    <row r="243" spans="1:1" x14ac:dyDescent="0.25">
      <c r="A243" t="s">
        <v>101</v>
      </c>
    </row>
    <row r="244" spans="1:1" x14ac:dyDescent="0.25">
      <c r="A244" t="s">
        <v>102</v>
      </c>
    </row>
    <row r="245" spans="1:1" x14ac:dyDescent="0.25">
      <c r="A245" t="s">
        <v>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Caden Abbitt</dc:creator>
  <cp:lastModifiedBy>Caden Abbitt</cp:lastModifiedBy>
  <dcterms:created xsi:type="dcterms:W3CDTF">2015-06-05T18:17:20Z</dcterms:created>
  <dcterms:modified xsi:type="dcterms:W3CDTF">2024-11-06T18:25:16Z</dcterms:modified>
</cp:coreProperties>
</file>